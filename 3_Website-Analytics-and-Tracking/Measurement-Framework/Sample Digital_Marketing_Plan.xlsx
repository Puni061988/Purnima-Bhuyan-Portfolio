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rnimaBhuyan\Downloads\"/>
    </mc:Choice>
  </mc:AlternateContent>
  <xr:revisionPtr revIDLastSave="0" documentId="13_ncr:1_{E1313F8F-3144-49CA-947A-3F8D3BDFCCE9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Lists" sheetId="1" r:id="rId1"/>
    <sheet name="Digital Mktg &amp; Comms 2026" sheetId="2" r:id="rId2"/>
    <sheet name="CRM Improvements" sheetId="4" r:id="rId3"/>
    <sheet name="Overview" sheetId="7" r:id="rId4"/>
  </sheets>
  <definedNames>
    <definedName name="OwnerList">Lists!$E$2:$E$8</definedName>
    <definedName name="PriorityList">Lists!$C$2:$C$5</definedName>
    <definedName name="RAGList">Lists!$B$2:$B$4</definedName>
    <definedName name="RiskLevelList">Lists!$D$2:$D$4</definedName>
    <definedName name="StatusList">Lists!$A$2:$A$7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4" l="1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27" i="4"/>
  <c r="I26" i="4"/>
  <c r="I25" i="4"/>
  <c r="I24" i="4"/>
  <c r="I23" i="4"/>
  <c r="I16" i="4"/>
  <c r="I17" i="4"/>
  <c r="I18" i="4"/>
  <c r="I19" i="4"/>
  <c r="I20" i="4"/>
  <c r="I21" i="4"/>
  <c r="I22" i="4"/>
  <c r="I12" i="4"/>
  <c r="I13" i="4"/>
  <c r="I14" i="4"/>
  <c r="I15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11" i="4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</calcChain>
</file>

<file path=xl/sharedStrings.xml><?xml version="1.0" encoding="utf-8"?>
<sst xmlns="http://schemas.openxmlformats.org/spreadsheetml/2006/main" count="816" uniqueCount="308">
  <si>
    <t>Not Started</t>
  </si>
  <si>
    <t>In Progress</t>
  </si>
  <si>
    <t>At Risk</t>
  </si>
  <si>
    <t>Delayed</t>
  </si>
  <si>
    <t>Completed</t>
  </si>
  <si>
    <t>On Hold</t>
  </si>
  <si>
    <t>Red</t>
  </si>
  <si>
    <t>Amber</t>
  </si>
  <si>
    <t>Green</t>
  </si>
  <si>
    <t>Low</t>
  </si>
  <si>
    <t>Medium</t>
  </si>
  <si>
    <t>High</t>
  </si>
  <si>
    <t>Critical</t>
  </si>
  <si>
    <t>Purnima</t>
  </si>
  <si>
    <t>Digital Marketing &amp; Communications Project Plan 2026</t>
  </si>
  <si>
    <t>Project Overview</t>
  </si>
  <si>
    <t>Goals &amp; KPIs</t>
  </si>
  <si>
    <t>Stakeholder List</t>
  </si>
  <si>
    <t>Risks &amp; Dependencies</t>
  </si>
  <si>
    <t>Workstream</t>
  </si>
  <si>
    <t>Phase</t>
  </si>
  <si>
    <t>Description</t>
  </si>
  <si>
    <t>Dependency</t>
  </si>
  <si>
    <t>Start Date</t>
  </si>
  <si>
    <t>Duration (days)</t>
  </si>
  <si>
    <t>Status</t>
  </si>
  <si>
    <t>RAG</t>
  </si>
  <si>
    <t>Priority</t>
  </si>
  <si>
    <t>% Complete</t>
  </si>
  <si>
    <t>Notes</t>
  </si>
  <si>
    <t>CRM Improvements (incl. Audit, Data, Automation, Training)</t>
  </si>
  <si>
    <t>CRM Focus Areas</t>
  </si>
  <si>
    <t>Last updated:</t>
  </si>
  <si>
    <t>Instructions</t>
  </si>
  <si>
    <t>4. You can add PivotTables and dashboards on new sheets using the tables already created.</t>
  </si>
  <si>
    <t>Project Status Options</t>
  </si>
  <si>
    <t>RAG Status (Red–Amber–Green)</t>
  </si>
  <si>
    <t>Priority Levels</t>
  </si>
  <si>
    <t>Impact / Effort Ratings</t>
  </si>
  <si>
    <t>Owners or Responsible Persons</t>
  </si>
  <si>
    <t>#</t>
  </si>
  <si>
    <t>Sending timely thank-you notes, event follow-ups, and appeal updates automatically.</t>
  </si>
  <si>
    <r>
      <t>Streamlining </t>
    </r>
    <r>
      <rPr>
        <b/>
        <sz val="11"/>
        <color rgb="FF000000"/>
        <rFont val="Aptos"/>
        <family val="2"/>
      </rPr>
      <t>service updates and newsletters</t>
    </r>
    <r>
      <rPr>
        <sz val="11"/>
        <color rgb="FF000000"/>
        <rFont val="Aptos"/>
        <family val="2"/>
      </rPr>
      <t> so our clients, volunteers, and partners stay better informed.</t>
    </r>
  </si>
  <si>
    <t>Making it easier to segment our contacts, so people only get the information that’s relevant to them.</t>
  </si>
  <si>
    <t>Tracking engagement, so we can see what’s working and keep improving.</t>
  </si>
  <si>
    <t>Automated communication</t>
  </si>
  <si>
    <t>Streamlined updates &amp; newsletters</t>
  </si>
  <si>
    <t>Better segmentation</t>
  </si>
  <si>
    <t>Engagement tracking</t>
  </si>
  <si>
    <t>CRM audit, data hygiene, segmentation, automation flows, integrated communications, reporting, and staff training to strengthen and streamline all CRM processes</t>
  </si>
  <si>
    <t>Improve engagement, reduce manual work through automation, enhance communication quality, and strengthen reporting to support fundraising and service decisions</t>
  </si>
  <si>
    <t>Purnima, Hannah</t>
  </si>
  <si>
    <t>Includes CRM audit, data cleanup, automation, segmentation, integrations, template updates, training, and reporting, while excluding major system migrations, website rebuilds, organisational policy changes, and large-scale IT development.</t>
  </si>
  <si>
    <t>Scope</t>
  </si>
  <si>
    <t>Steps</t>
  </si>
  <si>
    <t>Sub Phase</t>
  </si>
  <si>
    <t>Audit &amp; Mapping</t>
  </si>
  <si>
    <t>Document every type of thank-you note, follow-up and appeal update currently sent.</t>
  </si>
  <si>
    <t>Map which ones come from HubSpot vs. Salesforce.</t>
  </si>
  <si>
    <t>Identify triggers (donation received, event attended, enquiry submitted).</t>
  </si>
  <si>
    <t>Data &amp; Integration Plan</t>
  </si>
  <si>
    <t>Confirm where donor/contact “source of truth” should live (likely Salesforce)</t>
  </si>
  <si>
    <t>Decide whether HubSpot → Salesforce → HubSpot sync is needed.</t>
  </si>
  <si>
    <t>Set required fields for automation (email, name, donation amount, event type).</t>
  </si>
  <si>
    <t>Build Automation Flows</t>
  </si>
  <si>
    <t>In HubSpot: build email automation flows triggered by form submissions or lists.</t>
  </si>
  <si>
    <t>In Salesforce: build workflows for donations/events logged in Salesforce.</t>
  </si>
  <si>
    <t>Testing &amp; Launch</t>
  </si>
  <si>
    <t>Test every automation with sample data</t>
  </si>
  <si>
    <t>Check personalisation tokens pull correctly.</t>
  </si>
  <si>
    <t>Go live in small batches, then fully launch.</t>
  </si>
  <si>
    <t>Audience Segmentation</t>
  </si>
  <si>
    <t>Define groups: clients, volunteers, partners, donors, staff.</t>
  </si>
  <si>
    <t>Map where these groups currently live (HubSpot? Salesforce? Both?).</t>
  </si>
  <si>
    <t>Data Cleanup</t>
  </si>
  <si>
    <t>Clean up duplicates and inconsistent tags.</t>
  </si>
  <si>
    <t>Create a standard tagging method (e.g., “Client – Rathgar”, “Volunteer – Events”).</t>
  </si>
  <si>
    <t>Email System Decision</t>
  </si>
  <si>
    <r>
      <t>Option A:</t>
    </r>
    <r>
      <rPr>
        <sz val="11"/>
        <color theme="1"/>
        <rFont val="Calibri"/>
        <family val="2"/>
        <scheme val="minor"/>
      </rPr>
      <t xml:space="preserve"> Send newsletters from HubSpot (recommended — website + forms are already there).</t>
    </r>
  </si>
  <si>
    <r>
      <t>Option B:</t>
    </r>
    <r>
      <rPr>
        <sz val="11"/>
        <color theme="1"/>
        <rFont val="Calibri"/>
        <family val="2"/>
        <scheme val="minor"/>
      </rPr>
      <t xml:space="preserve"> Send from Salesforce Marketing Cloud/Pardot</t>
    </r>
  </si>
  <si>
    <t>Build Newsletter Workflows</t>
  </si>
  <si>
    <t>Set up lists synced from CRM tags.</t>
  </si>
  <si>
    <t>Create reusable templates (updates, service announcements, volunteer news).</t>
  </si>
  <si>
    <t>Schedule recurring communication rhythms (monthly, quarterly, etc.).</t>
  </si>
  <si>
    <t>Segmentation Framework</t>
  </si>
  <si>
    <t>Create a standard list of segments needed (clients, volunteers, donors, partners).</t>
  </si>
  <si>
    <t>Agree on definitions and what qualifies someone for each segment.</t>
  </si>
  <si>
    <t>Tagging Rules</t>
  </si>
  <si>
    <t>Create tagging fields in Salesforce (primary database).</t>
  </si>
  <si>
    <t>Mirror essential tags in HubSpot if HubSpot sends communications.</t>
  </si>
  <si>
    <t>Automation-Based Segmentation</t>
  </si>
  <si>
    <t>Build rules where form submissions automatically tag people (HubSpot).</t>
  </si>
  <si>
    <t>Donations or volunteer sign-ups automatically tag people (Salesforce).</t>
  </si>
  <si>
    <t>Sync tags between Salesforce ↔ HubSpot via integration where needed.</t>
  </si>
  <si>
    <t>Dashboard &amp; Quality Checks</t>
  </si>
  <si>
    <t>Review segmentation accuracy monthly.</t>
  </si>
  <si>
    <t>Run reports on missing/untagged contacts.</t>
  </si>
  <si>
    <t>Define Key Engagement Metrics</t>
  </si>
  <si>
    <t>Email opens, click rates, event attendance, donation frequency.</t>
  </si>
  <si>
    <t>Service use engagement (class attendance, counselling sessions).</t>
  </si>
  <si>
    <t>Enable Tracking Tools</t>
  </si>
  <si>
    <t>Add HubSpot tracking code to website.</t>
  </si>
  <si>
    <t>Ensure Salesforce fields capture donations, events, volunteer hours.</t>
  </si>
  <si>
    <t>Build Dashboards</t>
  </si>
  <si>
    <r>
      <t>In HubSpot:</t>
    </r>
    <r>
      <rPr>
        <sz val="11"/>
        <color theme="1"/>
        <rFont val="Calibri"/>
        <family val="2"/>
        <scheme val="minor"/>
      </rPr>
      <t xml:space="preserve"> email performance, website engagement.</t>
    </r>
  </si>
  <si>
    <r>
      <t>In Salesforce:</t>
    </r>
    <r>
      <rPr>
        <sz val="11"/>
        <color theme="1"/>
        <rFont val="Calibri"/>
        <family val="2"/>
        <scheme val="minor"/>
      </rPr>
      <t xml:space="preserve"> donor retention, appeals performance, volunteer activity.</t>
    </r>
  </si>
  <si>
    <t>Insights &amp; Continuous Improvement</t>
  </si>
  <si>
    <t>Hold monthly CRM review sessions.</t>
  </si>
  <si>
    <t>Adjust automations and messaging based on data trends.</t>
  </si>
  <si>
    <t>Identify drop-off points (e.g., people opening emails but not clicking).</t>
  </si>
  <si>
    <t>Hannah</t>
  </si>
  <si>
    <t>Assigned to</t>
  </si>
  <si>
    <t>Completed by</t>
  </si>
  <si>
    <t>Set up the HubSpot–Salesforce connector (supported because API access is enabled)</t>
  </si>
  <si>
    <t>Define who is responsible for assigning tags (Purnima/Hannah/Stephanie).</t>
  </si>
  <si>
    <t>Digital Marketing &amp; CRM – 2026 Project Portfolio</t>
  </si>
  <si>
    <t>Website Re-building (ARC Website Upgrade Project)</t>
  </si>
  <si>
    <t>Website Audit &amp; Discovery</t>
  </si>
  <si>
    <t>Conduct a full audit of current website: structure, navigation, content quality, UX, SEO, accessibility, and page performance.</t>
  </si>
  <si>
    <t>Create a page inventory and tag areas needing improvement (content gaps, formatting issues, design inconsistencies).</t>
  </si>
  <si>
    <t>Template &amp; Component Planning</t>
  </si>
  <si>
    <t>Review existing templates; decide which can be reused and which need redesign.</t>
  </si>
  <si>
    <t>Draft new wireframes/templates aligned with ARC’s Brand Messaging Guide.</t>
  </si>
  <si>
    <t>CMS Platform Migration (with external partner)</t>
  </si>
  <si>
    <t>Work with the CMS optimisation partner to migrate ARC’s website to the new platform (faster, customisable, SEO-friendly).</t>
  </si>
  <si>
    <t>Implement components that allow ARC to manage sections easily (custom blocks, layouts, improved editor tools).</t>
  </si>
  <si>
    <t>Build, Test &amp; Optimise</t>
  </si>
  <si>
    <t>Build new pages using the updated templates; optimise speed, accessibility, and mobile-first design.</t>
  </si>
  <si>
    <t>QA testing: broken links, forms, tracking, cross-browser check, SEO metadata, image optimisation.</t>
  </si>
  <si>
    <t>Launch &amp; Post-launch Enhancements</t>
  </si>
  <si>
    <t>Launch updated site and monitor performance for 30 days.</t>
  </si>
  <si>
    <t>Optimise based on analytics: top menu improvements, homepage adjustments, page optimisation, bounce-rate reduction.</t>
  </si>
  <si>
    <t>Services Newsletter &amp; Client Calendar Templates (2-page templates)</t>
  </si>
  <si>
    <t>Template Strategy</t>
  </si>
  <si>
    <t>Map content requirements for the 2-page monthly Services Newsletter &amp; Calendar (events, support groups, counselling updates, etc.).</t>
  </si>
  <si>
    <t>Align template design with ARC’s brand colours, typography, and messaging tone.</t>
  </si>
  <si>
    <t>Design &amp; Build</t>
  </si>
  <si>
    <t>Ensure templates meet accessibility standards (contrast, readability, image alt text).</t>
  </si>
  <si>
    <t>Create visually clean 2-page templates for: Monthly service calendar, Monthly client newsletter</t>
  </si>
  <si>
    <t>Integration &amp; Automation</t>
  </si>
  <si>
    <t>Integrate templates into HubSpot for easy updating by Services team.</t>
  </si>
  <si>
    <t>Connect with Salesforce segmentation so the right clients receive the right information.</t>
  </si>
  <si>
    <t>Pilot &amp; Refine</t>
  </si>
  <si>
    <t>Pilot templates for 2 months → collect feedback → refine visual hierarchy, clarity, and layout</t>
  </si>
  <si>
    <t>Legacy in Will – Upgrade Strategy</t>
  </si>
  <si>
    <t>Audit &amp; Benchmarking</t>
  </si>
  <si>
    <t>Review existing ARC Legacy in Will materials (PDFs, web pages, brochures).</t>
  </si>
  <si>
    <t>Benchmark against other leading Irish/UK charities’ legacy programmes.</t>
  </si>
  <si>
    <t>Messaging &amp; Creative</t>
  </si>
  <si>
    <t>Develop refined messaging: storytelling, impact statements, donor stories, FAQs.</t>
  </si>
  <si>
    <t>Create updated brand-aligned visuals and downloadable assets.</t>
  </si>
  <si>
    <t>Digital Presence Upgrade</t>
  </si>
  <si>
    <t>Add accessible video content explaining how legacy gifts help ARC.</t>
  </si>
  <si>
    <t>Donor Journey &amp; Automation</t>
  </si>
  <si>
    <t>Design an automated journey for legacy enquiries (welcome email, follow-up resources, thank-you note).</t>
  </si>
  <si>
    <t>Sync journey steps with Salesforce tagging and reporting.</t>
  </si>
  <si>
    <t>Promotion &amp; Awareness</t>
  </si>
  <si>
    <t>Launch multi-channel awareness campaign (email, social, website).</t>
  </si>
  <si>
    <t>Digital Tracking Across All Channels</t>
  </si>
  <si>
    <t>Audit</t>
  </si>
  <si>
    <t>Audit all existing tracking: website, social media, email, events, donations.</t>
  </si>
  <si>
    <t>Identify missing tracking areas (e.g., event RSVPs, downloads, volunteer forms).</t>
  </si>
  <si>
    <t>Website &amp; Platform Tracking</t>
  </si>
  <si>
    <t>Implement enhanced tracking via: HubSpot tracking code, Google Analytics, Meta Pixel, LinkedIn Insights Tag.</t>
  </si>
  <si>
    <t>Tag all key events: form submissions, bookings, button clicks, video views.</t>
  </si>
  <si>
    <t>CRM &amp; Automation Tracking</t>
  </si>
  <si>
    <t>Ensure HubSpot ↔ Salesforce events are tracked correctly (thanks to API access).</t>
  </si>
  <si>
    <t>Build dashboards for: client engagement, donor behaviour, volunteer activity.</t>
  </si>
  <si>
    <t>Reporting</t>
  </si>
  <si>
    <t>Create monthly digital performance reports.</t>
  </si>
  <si>
    <t>Identify trends &amp; optimise campaigns accordingly.</t>
  </si>
  <si>
    <t>AI Enablement &amp; Intelligent Automation</t>
  </si>
  <si>
    <t>AI Audit &amp; Opportunity Mapping</t>
  </si>
  <si>
    <t>Identify where AI can support ARC’s operations, e.g.:1. 1.Content creation (blogs, social media, newsletters)
2.Service information updates
3.Segmentation recommendations
4. Donor insights &amp; predictive analytics
5. Website personalisation
6. Admin workflows (summaries, tasks)</t>
  </si>
  <si>
    <t>Document current pain points (manual tasks, delays, repetitive content work, donor follow-up gaps).</t>
  </si>
  <si>
    <r>
      <t>Define AI use cases</t>
    </r>
    <r>
      <rPr>
        <sz val="11"/>
        <color theme="1"/>
        <rFont val="Calibri"/>
        <family val="2"/>
        <scheme val="minor"/>
      </rPr>
      <t xml:space="preserve"> that are safe, ethical, and high-impact.</t>
    </r>
  </si>
  <si>
    <t>AI Tools &amp; Governance Setup</t>
  </si>
  <si>
    <t>Develop AI guidelines:
Tone of voice
Ethical standards
Confidentiality rules
Verification &amp; fact-checking procedures</t>
  </si>
  <si>
    <t>Select recommended tools:
a.ChatGPT / GPT for content and research
b.HubSpot AI for emails, social posts, and predictive segments
c.Salesforce Einstein for donor insights and automation
d.Canva AI tools for design support</t>
  </si>
  <si>
    <t>Workflow Integration</t>
  </si>
  <si>
    <t>Integrate AI into daily and weekly workflows, e.g.:
a. Drafting newsletters, social posts, blogs
b. Summarising client or donor conversations for reports
c. Creating event descriptions, templates, calendars
d. Drafting campaign messaging and appeal letters
e. First-draft copy for fundraising materials</t>
  </si>
  <si>
    <r>
      <t xml:space="preserve">Use AI to </t>
    </r>
    <r>
      <rPr>
        <b/>
        <sz val="11"/>
        <color theme="1"/>
        <rFont val="Calibri"/>
        <family val="2"/>
        <scheme val="minor"/>
      </rPr>
      <t>shortcut content production</t>
    </r>
    <r>
      <rPr>
        <sz val="11"/>
        <color theme="1"/>
        <rFont val="Calibri"/>
        <family val="2"/>
        <scheme val="minor"/>
      </rPr>
      <t xml:space="preserve"> while keeping final human review for quality and compliance.</t>
    </r>
  </si>
  <si>
    <t>Intelligent Automation &amp; Insights</t>
  </si>
  <si>
    <t>Use AI for predictive insights, such as:
a. Donor likelihood to give again
b. Identifying high-engagement clients or supporters
c. Suggesting optimal send times for communications
d. Predicting which content performs best</t>
  </si>
  <si>
    <t>Use AI to improve service delivery:
a. Automated FAQs
b. AI-generated appointment reminders
c. Suggested responses for the Services team (human approved)</t>
  </si>
  <si>
    <t>Training, Quality Control &amp; Monitoring</t>
  </si>
  <si>
    <t>Train staff on:
a. How to use AI tools
b. When NOT to use AI
c. How to fact-check AI outputs
d. How to maintain the ARC tone of voice</t>
  </si>
  <si>
    <t>Create a monthly AI review cycle to ensure:
a. Outputs remain accurate
b. Brand consistency is maintained
c. AI-generated recommendations are improving performance</t>
  </si>
  <si>
    <t>Self/Agency</t>
  </si>
  <si>
    <t>Developer</t>
  </si>
  <si>
    <t>Self</t>
  </si>
  <si>
    <t>Agency Partner</t>
  </si>
  <si>
    <t>Edit the existing dedicated Legacy in Will landing page with clear “next steps” and contact info.</t>
  </si>
  <si>
    <t xml:space="preserve">Include Leagcy in Will Drip-Drip messaging in very communication acroos all channels </t>
  </si>
  <si>
    <t>Develop and execute an integrated marketing, awareness, communications, and digital strategy </t>
  </si>
  <si>
    <t>Audit &amp; Planning</t>
  </si>
  <si>
    <t>Review what exists right now across marketing, awareness, communications, and digital.</t>
  </si>
  <si>
    <t>Identify gaps that stop us from reaching organisational goals.</t>
  </si>
  <si>
    <t>Strategy Creation</t>
  </si>
  <si>
    <t>Build an integrated plan that links digital, comms, fundraising, brand, and service messaging.</t>
  </si>
  <si>
    <t>Define budgets and resources needed.</t>
  </si>
  <si>
    <t>Implementation</t>
  </si>
  <si>
    <t>Roll out activities across website, social, email, print, PR, and campaigns.</t>
  </si>
  <si>
    <t>Match everything with ARC’s values and mission.</t>
  </si>
  <si>
    <t>Review &amp; Adaptation</t>
  </si>
  <si>
    <t>Evaluate what worked and what didn’t.</t>
  </si>
  <si>
    <t>Refine strategy every quarter.</t>
  </si>
  <si>
    <t>Manage digital presence and engagement</t>
  </si>
  <si>
    <t>Review Current Digital Presence</t>
  </si>
  <si>
    <t>Analyse existing social media, website, interactions, and responses.</t>
  </si>
  <si>
    <t>Identify improvement areas and missing pieces.</t>
  </si>
  <si>
    <t>Engagement Planning</t>
  </si>
  <si>
    <t>Build a plan for consistent posting, follower interaction, and responding to queries.</t>
  </si>
  <si>
    <t>Use new ideas to improve ARC’s voice online.</t>
  </si>
  <si>
    <t>Execution</t>
  </si>
  <si>
    <t>Manage content calendars, social posts, and website updates.</t>
  </si>
  <si>
    <t>Coordinate with internal teams.</t>
  </si>
  <si>
    <t>Measurement</t>
  </si>
  <si>
    <t>Agree on digital engagement metrics (followers, interactions, response time).</t>
  </si>
  <si>
    <t>Track the results weekly/monthly.</t>
  </si>
  <si>
    <t>Oversee the creative development process</t>
  </si>
  <si>
    <t>Briefing &amp; Planning</t>
  </si>
  <si>
    <t>Create briefs for design, messaging, and storytelling.</t>
  </si>
  <si>
    <t>Set campaign goals for December and Christmas.</t>
  </si>
  <si>
    <t>Creative Development</t>
  </si>
  <si>
    <t>Review drafts, messaging, visuals, and content.</t>
  </si>
  <si>
    <t>Manage timelines, approvals, and production.</t>
  </si>
  <si>
    <t>Coordinate print, fulfilment, and digital rollout.</t>
  </si>
  <si>
    <t>Post-campaign review</t>
  </si>
  <si>
    <t>Analyse performance, donations, engagement.</t>
  </si>
  <si>
    <t>Document learnings for 2026.</t>
  </si>
  <si>
    <t>Maintain brand consistency across all communications</t>
  </si>
  <si>
    <t>Brand Review</t>
  </si>
  <si>
    <t>Evaluate existing materials for inconsistencies.</t>
  </si>
  <si>
    <t>Identify tone of voice gaps and design mismatches.</t>
  </si>
  <si>
    <t>Brand Standards</t>
  </si>
  <si>
    <t>Ensure visual identity, tone, and messaging stay aligned.</t>
  </si>
  <si>
    <t>Prioritise brand alignment for September newsletter.</t>
  </si>
  <si>
    <t>Ongoing Implementation</t>
  </si>
  <si>
    <t>Guide all teams to use the correct templates.</t>
  </si>
  <si>
    <t>Audit new output regularly.</t>
  </si>
  <si>
    <t>Create and oversee compelling marketing content</t>
  </si>
  <si>
    <t>Content Planning</t>
  </si>
  <si>
    <t>Build a cross-channel content plan (social, email, website, print).</t>
  </si>
  <si>
    <t>Align content with ARC values and mission.</t>
  </si>
  <si>
    <t>Content Development</t>
  </si>
  <si>
    <t>Write, design, and create content.</t>
  </si>
  <si>
    <t>Use stories, impact updates, and real voices.</t>
  </si>
  <si>
    <t>Distribution</t>
  </si>
  <si>
    <t>Share content across key channels.</t>
  </si>
  <si>
    <t>Repurpose content to reach more audiences.</t>
  </si>
  <si>
    <t>Plan and assist execution of multi-channel fundraising &amp; awareness campaigns</t>
  </si>
  <si>
    <t>Campaign Planning</t>
  </si>
  <si>
    <t>Begin early planning for 2026 campaigns.</t>
  </si>
  <si>
    <t>Roll out across ATL, BTL, digital, and experiential channels.</t>
  </si>
  <si>
    <t>Coordinate with fundraising, services, and external partners.</t>
  </si>
  <si>
    <t>Track engagement and donations.</t>
  </si>
  <si>
    <t>Document what worked for next year.</t>
  </si>
  <si>
    <t>Lead donor communications and stewardship</t>
  </si>
  <si>
    <t>Story Gathering</t>
  </si>
  <si>
    <t>Collect stories/testimonials (set a metric/target</t>
  </si>
  <si>
    <t>Donor Communication Plan</t>
  </si>
  <si>
    <t>Set rhythm for donor updates (monthly, quarterly, campaign-based)</t>
  </si>
  <si>
    <t>Create heartfelt stories, impact reports, thank-you updates.</t>
  </si>
  <si>
    <t>Build trust and long-term supporter engagement.</t>
  </si>
  <si>
    <t>Monitor, analyse, and report on performance</t>
  </si>
  <si>
    <t>Set KPIs</t>
  </si>
  <si>
    <t>Agree on metrics for awareness, marketing, fundraising.</t>
  </si>
  <si>
    <t>Include special focus on Christmas campaign.</t>
  </si>
  <si>
    <t>Tracking Setup</t>
  </si>
  <si>
    <t>Ensure platforms track all digital actions.</t>
  </si>
  <si>
    <t>Compile results from social, email, website, CRM.</t>
  </si>
  <si>
    <t>Create monthly dashboards.</t>
  </si>
  <si>
    <t>Use data to refine communications and improve ROI.</t>
  </si>
  <si>
    <t>Support delivery of key organisational and fundraising events</t>
  </si>
  <si>
    <t>Event Planning Support</t>
  </si>
  <si>
    <t>Create event marketing and PR plans.</t>
  </si>
  <si>
    <t>Coordinate internal and external messaging.</t>
  </si>
  <si>
    <t>Promotion</t>
  </si>
  <si>
    <t>Push event awareness across all channels.</t>
  </si>
  <si>
    <t>Support Services and Fundraising teams.</t>
  </si>
  <si>
    <t>Engagement Tracking</t>
  </si>
  <si>
    <t>Monitor RSVPs, engagement, and outcomes.</t>
  </si>
  <si>
    <t>Manage relationships with third-party agencies and suppliers</t>
  </si>
  <si>
    <t>Relationship Review</t>
  </si>
  <si>
    <t>Identify current suppliers (print, fulfilment, designers, Yellow Harbour).</t>
  </si>
  <si>
    <t>Clarify responsibilities.</t>
  </si>
  <si>
    <t>Collaboration</t>
  </si>
  <si>
    <t>Ensure smooth workflow and communication.</t>
  </si>
  <si>
    <t>Maximise value from partnerships.</t>
  </si>
  <si>
    <t>Oversee the marketing budget</t>
  </si>
  <si>
    <t>Budget Review</t>
  </si>
  <si>
    <t>Review 2026 marketing budget for each key priorities</t>
  </si>
  <si>
    <t>Cost Planning</t>
  </si>
  <si>
    <t>Plan for campaigns, website updates, design work, printing, digital tools.</t>
  </si>
  <si>
    <t>Monitoring</t>
  </si>
  <si>
    <t>Ensure campaigns stay within budget while still making impact.</t>
  </si>
  <si>
    <t>Work with internal teams and external contractors.</t>
  </si>
  <si>
    <t>Create marketing and comms plan for Q1 2026.</t>
  </si>
  <si>
    <t xml:space="preserve">Scope </t>
  </si>
  <si>
    <t>Create a unified digital marketing and communications plan for stronger awareness, engagement, and fundraising.</t>
  </si>
  <si>
    <t>Increase awareness, engagement, and campaign performance using clear monthly metrics.</t>
  </si>
  <si>
    <t>All digital, marketing, comms, content, and campaign activities; excludes non-marketing tasks.</t>
  </si>
  <si>
    <t>Comms, Fundraising, Services, Leadership, Yellow Harbour, and external suppliers.</t>
  </si>
  <si>
    <t>Resource limits, partner delays, data issues, and cross-team dependencies.</t>
  </si>
  <si>
    <t>1. Use each project tab to capture detailed tasks, owners, dates and risks.</t>
  </si>
  <si>
    <t>Risk of compliance &amp; Dependencies of Access levels.</t>
  </si>
  <si>
    <t>Pillars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</si>
</sst>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77" formatCode="[$-1809]dd\ mmmm\ yyyy;@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sz val="10"/>
      <color rgb="FF00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9DAF8"/>
        <bgColor rgb="FFC9DAF8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rgb="FFC9DAF8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164" fontId="0" fillId="0" borderId="1" xfId="0" applyNumberFormat="1" applyBorder="1"/>
    <xf numFmtId="9" fontId="0" fillId="0" borderId="1" xfId="0" applyNumberFormat="1" applyBorder="1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0" fontId="0" fillId="0" borderId="1" xfId="0" applyBorder="1"/>
    <xf numFmtId="0" fontId="1" fillId="0" borderId="0" xfId="0" applyFont="1" applyAlignment="1">
      <alignment horizontal="left" vertical="center"/>
    </xf>
    <xf numFmtId="0" fontId="0" fillId="3" borderId="1" xfId="0" applyFill="1" applyBorder="1"/>
    <xf numFmtId="0" fontId="0" fillId="0" borderId="0" xfId="0"/>
    <xf numFmtId="0" fontId="0" fillId="0" borderId="0" xfId="0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  <xf numFmtId="0" fontId="3" fillId="4" borderId="0" xfId="0" applyFont="1" applyFill="1" applyAlignment="1">
      <alignment horizontal="left" vertical="center" wrapText="1" indent="1"/>
    </xf>
    <xf numFmtId="0" fontId="0" fillId="4" borderId="0" xfId="0" applyFill="1"/>
    <xf numFmtId="0" fontId="3" fillId="5" borderId="0" xfId="0" applyFont="1" applyFill="1" applyAlignment="1">
      <alignment horizontal="left" vertical="center" wrapText="1" indent="1"/>
    </xf>
    <xf numFmtId="0" fontId="0" fillId="5" borderId="0" xfId="0" applyFill="1"/>
    <xf numFmtId="0" fontId="0" fillId="5" borderId="0" xfId="0" applyFill="1" applyAlignment="1">
      <alignment horizontal="left" vertical="center" wrapText="1" indent="1"/>
    </xf>
    <xf numFmtId="0" fontId="3" fillId="6" borderId="0" xfId="0" applyFont="1" applyFill="1" applyAlignment="1">
      <alignment horizontal="left" vertical="center" wrapText="1" indent="1"/>
    </xf>
    <xf numFmtId="0" fontId="0" fillId="6" borderId="0" xfId="0" applyFill="1"/>
    <xf numFmtId="0" fontId="3" fillId="7" borderId="0" xfId="0" applyFont="1" applyFill="1" applyAlignment="1">
      <alignment horizontal="left" vertical="center" wrapText="1" indent="1"/>
    </xf>
    <xf numFmtId="0" fontId="0" fillId="7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6" borderId="1" xfId="0" applyFill="1" applyBorder="1"/>
    <xf numFmtId="0" fontId="0" fillId="7" borderId="1" xfId="0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177" fontId="5" fillId="8" borderId="0" xfId="0" applyNumberFormat="1" applyFont="1" applyFill="1"/>
    <xf numFmtId="177" fontId="0" fillId="9" borderId="1" xfId="0" applyNumberFormat="1" applyFill="1" applyBorder="1"/>
    <xf numFmtId="20" fontId="0" fillId="0" borderId="1" xfId="0" applyNumberFormat="1" applyBorder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0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13" borderId="1" xfId="0" applyFill="1" applyBorder="1" applyAlignment="1">
      <alignment wrapText="1"/>
    </xf>
    <xf numFmtId="177" fontId="5" fillId="14" borderId="0" xfId="0" applyNumberFormat="1" applyFont="1" applyFill="1"/>
    <xf numFmtId="0" fontId="0" fillId="15" borderId="0" xfId="0" applyFill="1"/>
    <xf numFmtId="0" fontId="2" fillId="15" borderId="0" xfId="0" applyFont="1" applyFill="1"/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5" borderId="0" xfId="0" applyFill="1" applyBorder="1" applyAlignment="1">
      <alignment horizontal="center" vertical="center"/>
    </xf>
    <xf numFmtId="0" fontId="0" fillId="15" borderId="1" xfId="0" applyFill="1" applyBorder="1" applyAlignment="1">
      <alignment wrapText="1"/>
    </xf>
    <xf numFmtId="0" fontId="2" fillId="15" borderId="1" xfId="0" applyFont="1" applyFill="1" applyBorder="1"/>
    <xf numFmtId="0" fontId="0" fillId="15" borderId="1" xfId="0" applyFill="1" applyBorder="1"/>
    <xf numFmtId="0" fontId="2" fillId="10" borderId="0" xfId="0" applyFont="1" applyFill="1"/>
    <xf numFmtId="0" fontId="2" fillId="11" borderId="0" xfId="0" applyFont="1" applyFill="1" applyAlignment="1">
      <alignment wrapText="1"/>
    </xf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6" borderId="0" xfId="0" applyFont="1" applyFill="1" applyAlignment="1">
      <alignment wrapText="1"/>
    </xf>
    <xf numFmtId="0" fontId="0" fillId="16" borderId="0" xfId="0" applyFont="1" applyFill="1" applyAlignment="1">
      <alignment wrapText="1"/>
    </xf>
    <xf numFmtId="0" fontId="0" fillId="16" borderId="0" xfId="0" applyFill="1" applyAlignment="1">
      <alignment horizontal="center" vertical="center" wrapText="1"/>
    </xf>
    <xf numFmtId="0" fontId="0" fillId="16" borderId="0" xfId="0" applyFill="1" applyAlignment="1">
      <alignment wrapText="1"/>
    </xf>
    <xf numFmtId="0" fontId="0" fillId="17" borderId="0" xfId="0" applyFill="1" applyAlignment="1">
      <alignment wrapText="1"/>
    </xf>
    <xf numFmtId="0" fontId="0" fillId="18" borderId="0" xfId="0" applyFill="1" applyAlignment="1">
      <alignment wrapText="1"/>
    </xf>
    <xf numFmtId="0" fontId="0" fillId="19" borderId="0" xfId="0" applyFill="1" applyAlignment="1">
      <alignment wrapText="1"/>
    </xf>
    <xf numFmtId="0" fontId="0" fillId="20" borderId="0" xfId="0" applyFill="1" applyAlignment="1">
      <alignment wrapText="1"/>
    </xf>
    <xf numFmtId="0" fontId="0" fillId="21" borderId="0" xfId="0" applyFill="1" applyAlignment="1">
      <alignment wrapText="1"/>
    </xf>
    <xf numFmtId="0" fontId="0" fillId="22" borderId="0" xfId="0" applyFill="1" applyAlignment="1">
      <alignment wrapText="1"/>
    </xf>
    <xf numFmtId="0" fontId="0" fillId="23" borderId="0" xfId="0" applyFill="1" applyAlignment="1">
      <alignment wrapText="1"/>
    </xf>
    <xf numFmtId="0" fontId="2" fillId="17" borderId="0" xfId="0" applyFont="1" applyFill="1" applyAlignment="1">
      <alignment wrapText="1"/>
    </xf>
    <xf numFmtId="0" fontId="0" fillId="17" borderId="0" xfId="0" applyFill="1" applyAlignment="1">
      <alignment horizontal="center" vertical="center" wrapText="1"/>
    </xf>
    <xf numFmtId="0" fontId="2" fillId="18" borderId="0" xfId="0" applyFont="1" applyFill="1" applyAlignment="1">
      <alignment wrapText="1"/>
    </xf>
    <xf numFmtId="0" fontId="0" fillId="18" borderId="0" xfId="0" applyFill="1" applyAlignment="1">
      <alignment horizontal="center" vertical="center" wrapText="1"/>
    </xf>
    <xf numFmtId="0" fontId="2" fillId="19" borderId="0" xfId="0" applyFont="1" applyFill="1" applyAlignment="1">
      <alignment wrapText="1"/>
    </xf>
    <xf numFmtId="0" fontId="0" fillId="19" borderId="0" xfId="0" applyFill="1" applyAlignment="1">
      <alignment horizontal="center" vertical="center" wrapText="1"/>
    </xf>
    <xf numFmtId="0" fontId="2" fillId="20" borderId="0" xfId="0" applyFont="1" applyFill="1" applyAlignment="1">
      <alignment wrapText="1"/>
    </xf>
    <xf numFmtId="0" fontId="0" fillId="20" borderId="0" xfId="0" applyFill="1" applyAlignment="1">
      <alignment horizontal="center" vertical="center" wrapText="1"/>
    </xf>
    <xf numFmtId="0" fontId="2" fillId="21" borderId="0" xfId="0" applyFont="1" applyFill="1" applyAlignment="1">
      <alignment wrapText="1"/>
    </xf>
    <xf numFmtId="0" fontId="0" fillId="21" borderId="0" xfId="0" applyFill="1" applyAlignment="1">
      <alignment horizontal="center" vertical="center" wrapText="1"/>
    </xf>
    <xf numFmtId="0" fontId="2" fillId="22" borderId="0" xfId="0" applyFont="1" applyFill="1" applyAlignment="1">
      <alignment wrapText="1"/>
    </xf>
    <xf numFmtId="0" fontId="0" fillId="22" borderId="0" xfId="0" applyFill="1" applyAlignment="1">
      <alignment horizontal="center" vertical="center" wrapText="1"/>
    </xf>
    <xf numFmtId="0" fontId="2" fillId="23" borderId="0" xfId="0" applyFont="1" applyFill="1" applyAlignment="1">
      <alignment wrapText="1"/>
    </xf>
    <xf numFmtId="0" fontId="0" fillId="23" borderId="0" xfId="0" applyFill="1" applyAlignment="1">
      <alignment horizontal="center" vertical="center" wrapText="1"/>
    </xf>
    <xf numFmtId="0" fontId="0" fillId="16" borderId="1" xfId="0" applyFill="1" applyBorder="1" applyAlignment="1">
      <alignment wrapText="1"/>
    </xf>
    <xf numFmtId="0" fontId="0" fillId="17" borderId="1" xfId="0" applyFill="1" applyBorder="1" applyAlignment="1">
      <alignment wrapText="1"/>
    </xf>
    <xf numFmtId="0" fontId="0" fillId="18" borderId="1" xfId="0" applyFill="1" applyBorder="1" applyAlignment="1">
      <alignment wrapText="1"/>
    </xf>
    <xf numFmtId="0" fontId="0" fillId="19" borderId="1" xfId="0" applyFill="1" applyBorder="1" applyAlignment="1">
      <alignment wrapText="1"/>
    </xf>
    <xf numFmtId="0" fontId="0" fillId="20" borderId="1" xfId="0" applyFill="1" applyBorder="1" applyAlignment="1">
      <alignment wrapText="1"/>
    </xf>
    <xf numFmtId="0" fontId="0" fillId="21" borderId="1" xfId="0" applyFill="1" applyBorder="1" applyAlignment="1">
      <alignment wrapText="1"/>
    </xf>
    <xf numFmtId="0" fontId="0" fillId="22" borderId="1" xfId="0" applyFill="1" applyBorder="1" applyAlignment="1">
      <alignment wrapText="1"/>
    </xf>
    <xf numFmtId="0" fontId="0" fillId="2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CC"/>
      <color rgb="FFCCECFF"/>
      <color rgb="FFCCFFCC"/>
      <color rgb="FFFFFF99"/>
      <color rgb="FFFF5050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D19" sqref="D19"/>
    </sheetView>
  </sheetViews>
  <sheetFormatPr defaultRowHeight="14.5" x14ac:dyDescent="0.35"/>
  <cols>
    <col min="1" max="1" width="19.1796875" customWidth="1"/>
    <col min="2" max="2" width="27.7265625" customWidth="1"/>
    <col min="3" max="3" width="15.36328125" customWidth="1"/>
    <col min="4" max="4" width="20.26953125" customWidth="1"/>
    <col min="5" max="5" width="28.453125" customWidth="1"/>
  </cols>
  <sheetData>
    <row r="1" spans="1:5" x14ac:dyDescent="0.35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</row>
    <row r="2" spans="1:5" x14ac:dyDescent="0.35">
      <c r="A2" s="5" t="s">
        <v>0</v>
      </c>
      <c r="B2" s="5" t="s">
        <v>6</v>
      </c>
      <c r="C2" s="5" t="s">
        <v>9</v>
      </c>
      <c r="D2" s="5" t="s">
        <v>9</v>
      </c>
      <c r="E2" s="5" t="s">
        <v>13</v>
      </c>
    </row>
    <row r="3" spans="1:5" x14ac:dyDescent="0.35">
      <c r="A3" s="5" t="s">
        <v>1</v>
      </c>
      <c r="B3" s="5" t="s">
        <v>7</v>
      </c>
      <c r="C3" s="5" t="s">
        <v>10</v>
      </c>
      <c r="D3" s="5" t="s">
        <v>10</v>
      </c>
      <c r="E3" s="5" t="s">
        <v>110</v>
      </c>
    </row>
    <row r="4" spans="1:5" x14ac:dyDescent="0.35">
      <c r="A4" s="5" t="s">
        <v>2</v>
      </c>
      <c r="B4" s="5" t="s">
        <v>8</v>
      </c>
      <c r="C4" s="5" t="s">
        <v>11</v>
      </c>
      <c r="D4" s="5" t="s">
        <v>11</v>
      </c>
      <c r="E4" s="5"/>
    </row>
    <row r="5" spans="1:5" x14ac:dyDescent="0.35">
      <c r="A5" s="5" t="s">
        <v>3</v>
      </c>
      <c r="B5" s="5"/>
      <c r="C5" s="5" t="s">
        <v>12</v>
      </c>
      <c r="D5" s="5"/>
      <c r="E5" s="5"/>
    </row>
    <row r="6" spans="1:5" x14ac:dyDescent="0.35">
      <c r="A6" s="5" t="s">
        <v>4</v>
      </c>
      <c r="B6" s="5"/>
      <c r="C6" s="5"/>
      <c r="D6" s="5"/>
      <c r="E6" s="5"/>
    </row>
    <row r="7" spans="1:5" x14ac:dyDescent="0.35">
      <c r="A7" s="5" t="s">
        <v>5</v>
      </c>
      <c r="B7" s="5"/>
      <c r="C7" s="5"/>
      <c r="D7" s="5"/>
      <c r="E7" s="5"/>
    </row>
    <row r="8" spans="1:5" x14ac:dyDescent="0.35">
      <c r="A8" s="5"/>
      <c r="B8" s="5"/>
      <c r="C8" s="5"/>
      <c r="D8" s="5"/>
      <c r="E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1"/>
  <sheetViews>
    <sheetView tabSelected="1" workbookViewId="0">
      <selection activeCell="B12" sqref="B12"/>
    </sheetView>
  </sheetViews>
  <sheetFormatPr defaultRowHeight="14.5" x14ac:dyDescent="0.35"/>
  <cols>
    <col min="1" max="1" width="45.1796875" customWidth="1"/>
    <col min="2" max="2" width="51" customWidth="1"/>
    <col min="3" max="3" width="10.7265625" style="51" customWidth="1"/>
    <col min="4" max="4" width="49.453125" style="14" customWidth="1"/>
    <col min="5" max="6" width="18.7265625" customWidth="1"/>
    <col min="7" max="7" width="17.54296875" style="1" customWidth="1"/>
    <col min="8" max="8" width="17.1796875" style="1" customWidth="1"/>
    <col min="9" max="10" width="14.7265625" customWidth="1"/>
    <col min="11" max="11" width="8.7265625" customWidth="1"/>
    <col min="12" max="12" width="10.7265625" customWidth="1"/>
    <col min="13" max="13" width="10.7265625" style="2" customWidth="1"/>
    <col min="14" max="14" width="25.7265625" customWidth="1"/>
  </cols>
  <sheetData>
    <row r="1" spans="1:14" ht="21" x14ac:dyDescent="0.35">
      <c r="A1" s="6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4" x14ac:dyDescent="0.35">
      <c r="A3" s="4" t="s">
        <v>15</v>
      </c>
      <c r="B3" t="s">
        <v>300</v>
      </c>
    </row>
    <row r="4" spans="1:14" x14ac:dyDescent="0.35">
      <c r="A4" s="4" t="s">
        <v>16</v>
      </c>
      <c r="B4" t="s">
        <v>301</v>
      </c>
    </row>
    <row r="5" spans="1:14" x14ac:dyDescent="0.35">
      <c r="A5" s="4" t="s">
        <v>299</v>
      </c>
      <c r="B5" t="s">
        <v>302</v>
      </c>
    </row>
    <row r="6" spans="1:14" x14ac:dyDescent="0.35">
      <c r="A6" s="4" t="s">
        <v>17</v>
      </c>
      <c r="B6" t="s">
        <v>303</v>
      </c>
    </row>
    <row r="7" spans="1:14" x14ac:dyDescent="0.35">
      <c r="A7" s="4" t="s">
        <v>18</v>
      </c>
      <c r="B7" t="s">
        <v>304</v>
      </c>
    </row>
    <row r="10" spans="1:14" x14ac:dyDescent="0.35">
      <c r="A10" s="4" t="s">
        <v>307</v>
      </c>
      <c r="B10" s="4" t="s">
        <v>20</v>
      </c>
      <c r="C10" s="11" t="s">
        <v>40</v>
      </c>
      <c r="D10" s="15" t="s">
        <v>21</v>
      </c>
      <c r="E10" s="4" t="s">
        <v>111</v>
      </c>
      <c r="F10" s="4" t="s">
        <v>22</v>
      </c>
      <c r="G10" s="4" t="s">
        <v>23</v>
      </c>
      <c r="H10" s="4" t="s">
        <v>112</v>
      </c>
      <c r="I10" s="4" t="s">
        <v>24</v>
      </c>
      <c r="J10" s="4" t="s">
        <v>25</v>
      </c>
      <c r="K10" s="4" t="s">
        <v>26</v>
      </c>
      <c r="L10" s="4" t="s">
        <v>27</v>
      </c>
      <c r="M10" s="4" t="s">
        <v>28</v>
      </c>
      <c r="N10" s="4" t="s">
        <v>29</v>
      </c>
    </row>
    <row r="11" spans="1:14" ht="43.5" x14ac:dyDescent="0.35">
      <c r="A11" s="61" t="s">
        <v>116</v>
      </c>
      <c r="B11" s="40" t="s">
        <v>117</v>
      </c>
      <c r="C11" s="52">
        <v>1</v>
      </c>
      <c r="D11" s="44" t="s">
        <v>118</v>
      </c>
      <c r="E11" t="s">
        <v>13</v>
      </c>
      <c r="F11" t="s">
        <v>188</v>
      </c>
      <c r="G11" s="37">
        <v>45982</v>
      </c>
      <c r="H11" s="48">
        <v>46015</v>
      </c>
      <c r="I11" s="5">
        <v>24</v>
      </c>
      <c r="J11" t="s">
        <v>1</v>
      </c>
    </row>
    <row r="12" spans="1:14" ht="43.5" x14ac:dyDescent="0.35">
      <c r="A12" s="61"/>
      <c r="B12" s="40"/>
      <c r="C12" s="52">
        <v>2</v>
      </c>
      <c r="D12" s="44" t="s">
        <v>119</v>
      </c>
      <c r="E12" s="8" t="s">
        <v>13</v>
      </c>
      <c r="F12" t="s">
        <v>189</v>
      </c>
      <c r="G12" s="37">
        <v>45982</v>
      </c>
      <c r="H12" s="48">
        <v>46015</v>
      </c>
      <c r="I12" s="5">
        <v>24</v>
      </c>
      <c r="J12" t="s">
        <v>1</v>
      </c>
    </row>
    <row r="13" spans="1:14" ht="29" x14ac:dyDescent="0.35">
      <c r="A13" s="61"/>
      <c r="B13" s="40" t="s">
        <v>120</v>
      </c>
      <c r="C13" s="52">
        <v>1</v>
      </c>
      <c r="D13" s="44" t="s">
        <v>121</v>
      </c>
      <c r="E13" s="8" t="s">
        <v>13</v>
      </c>
      <c r="F13" t="s">
        <v>190</v>
      </c>
      <c r="G13" s="37">
        <v>45982</v>
      </c>
      <c r="H13" s="48">
        <v>46015</v>
      </c>
      <c r="I13" s="5">
        <v>24</v>
      </c>
      <c r="J13" t="s">
        <v>1</v>
      </c>
    </row>
    <row r="14" spans="1:14" ht="29" x14ac:dyDescent="0.35">
      <c r="A14" s="61"/>
      <c r="B14" s="40"/>
      <c r="C14" s="52">
        <v>2</v>
      </c>
      <c r="D14" s="44" t="s">
        <v>122</v>
      </c>
      <c r="E14" s="8" t="s">
        <v>13</v>
      </c>
      <c r="F14" t="s">
        <v>190</v>
      </c>
      <c r="G14" s="37">
        <v>46017</v>
      </c>
      <c r="H14" s="48">
        <v>46052</v>
      </c>
      <c r="I14" s="5">
        <f t="shared" ref="I11:I42" si="0">IF(AND(G14&lt;&gt;"",H14&lt;&gt;""),H14-G14+1,"")</f>
        <v>36</v>
      </c>
      <c r="J14" t="s">
        <v>0</v>
      </c>
    </row>
    <row r="15" spans="1:14" ht="43.5" x14ac:dyDescent="0.35">
      <c r="A15" s="61"/>
      <c r="B15" s="40" t="s">
        <v>123</v>
      </c>
      <c r="C15" s="52">
        <v>1</v>
      </c>
      <c r="D15" s="44" t="s">
        <v>124</v>
      </c>
      <c r="E15" s="8" t="s">
        <v>13</v>
      </c>
      <c r="F15" t="s">
        <v>191</v>
      </c>
      <c r="G15" s="37">
        <v>46017</v>
      </c>
      <c r="H15" s="48">
        <v>46052</v>
      </c>
      <c r="I15" s="5">
        <f t="shared" si="0"/>
        <v>36</v>
      </c>
      <c r="J15" t="s">
        <v>0</v>
      </c>
    </row>
    <row r="16" spans="1:14" ht="43.5" x14ac:dyDescent="0.35">
      <c r="A16" s="61"/>
      <c r="B16" s="40"/>
      <c r="C16" s="52">
        <v>2</v>
      </c>
      <c r="D16" s="44" t="s">
        <v>125</v>
      </c>
      <c r="E16" s="8" t="s">
        <v>13</v>
      </c>
      <c r="F16" t="s">
        <v>191</v>
      </c>
      <c r="G16" s="37">
        <v>46017</v>
      </c>
      <c r="H16" s="48">
        <v>46052</v>
      </c>
      <c r="I16" s="5">
        <f t="shared" si="0"/>
        <v>36</v>
      </c>
      <c r="J16" t="s">
        <v>0</v>
      </c>
    </row>
    <row r="17" spans="1:10" ht="29" x14ac:dyDescent="0.35">
      <c r="A17" s="61"/>
      <c r="B17" s="40" t="s">
        <v>126</v>
      </c>
      <c r="C17" s="52">
        <v>1</v>
      </c>
      <c r="D17" s="44" t="s">
        <v>127</v>
      </c>
      <c r="E17" s="8" t="s">
        <v>13</v>
      </c>
      <c r="F17" t="s">
        <v>190</v>
      </c>
      <c r="G17" s="37">
        <v>46017</v>
      </c>
      <c r="H17" s="48">
        <v>46080</v>
      </c>
      <c r="I17" s="5">
        <f t="shared" si="0"/>
        <v>64</v>
      </c>
      <c r="J17" t="s">
        <v>0</v>
      </c>
    </row>
    <row r="18" spans="1:10" ht="29" x14ac:dyDescent="0.35">
      <c r="A18" s="61"/>
      <c r="B18" s="40"/>
      <c r="C18" s="52">
        <v>2</v>
      </c>
      <c r="D18" s="44" t="s">
        <v>128</v>
      </c>
      <c r="E18" s="8" t="s">
        <v>13</v>
      </c>
      <c r="F18" t="s">
        <v>190</v>
      </c>
      <c r="G18" s="37">
        <v>46017</v>
      </c>
      <c r="H18" s="48">
        <v>46080</v>
      </c>
      <c r="I18" s="5">
        <f t="shared" si="0"/>
        <v>64</v>
      </c>
      <c r="J18" t="s">
        <v>0</v>
      </c>
    </row>
    <row r="19" spans="1:10" ht="29" x14ac:dyDescent="0.35">
      <c r="A19" s="61"/>
      <c r="B19" s="40" t="s">
        <v>129</v>
      </c>
      <c r="C19" s="52">
        <v>1</v>
      </c>
      <c r="D19" s="44" t="s">
        <v>130</v>
      </c>
      <c r="E19" s="8" t="s">
        <v>13</v>
      </c>
      <c r="F19" t="s">
        <v>190</v>
      </c>
      <c r="G19" s="37">
        <v>46017</v>
      </c>
      <c r="H19" s="48">
        <v>46080</v>
      </c>
      <c r="I19" s="5">
        <f t="shared" si="0"/>
        <v>64</v>
      </c>
      <c r="J19" t="s">
        <v>0</v>
      </c>
    </row>
    <row r="20" spans="1:10" ht="43.5" x14ac:dyDescent="0.35">
      <c r="A20" s="61"/>
      <c r="B20" s="40"/>
      <c r="C20" s="52">
        <v>2</v>
      </c>
      <c r="D20" s="44" t="s">
        <v>131</v>
      </c>
      <c r="E20" s="8" t="s">
        <v>13</v>
      </c>
      <c r="F20" t="s">
        <v>190</v>
      </c>
      <c r="G20" s="37">
        <v>46017</v>
      </c>
      <c r="H20" s="48">
        <v>46080</v>
      </c>
      <c r="I20" s="5">
        <f t="shared" si="0"/>
        <v>64</v>
      </c>
      <c r="J20" t="s">
        <v>0</v>
      </c>
    </row>
    <row r="21" spans="1:10" ht="43.5" x14ac:dyDescent="0.35">
      <c r="A21" s="62" t="s">
        <v>132</v>
      </c>
      <c r="B21" s="41" t="s">
        <v>133</v>
      </c>
      <c r="C21" s="53">
        <v>1</v>
      </c>
      <c r="D21" s="45" t="s">
        <v>134</v>
      </c>
      <c r="E21" s="8" t="s">
        <v>13</v>
      </c>
      <c r="F21" s="9" t="s">
        <v>190</v>
      </c>
      <c r="G21" s="37">
        <v>45982</v>
      </c>
      <c r="H21" s="48">
        <v>45989</v>
      </c>
      <c r="I21" s="5">
        <f t="shared" si="0"/>
        <v>8</v>
      </c>
      <c r="J21" t="s">
        <v>1</v>
      </c>
    </row>
    <row r="22" spans="1:10" ht="29" x14ac:dyDescent="0.35">
      <c r="A22" s="63"/>
      <c r="B22" s="41"/>
      <c r="C22" s="53">
        <v>2</v>
      </c>
      <c r="D22" s="45" t="s">
        <v>135</v>
      </c>
      <c r="E22" s="8" t="s">
        <v>13</v>
      </c>
      <c r="F22" s="9" t="s">
        <v>190</v>
      </c>
      <c r="G22" s="37">
        <v>45982</v>
      </c>
      <c r="H22" s="48">
        <v>45989</v>
      </c>
      <c r="I22" s="5">
        <f t="shared" si="0"/>
        <v>8</v>
      </c>
      <c r="J22" t="s">
        <v>1</v>
      </c>
    </row>
    <row r="23" spans="1:10" ht="29" x14ac:dyDescent="0.35">
      <c r="A23" s="63"/>
      <c r="B23" s="41" t="s">
        <v>136</v>
      </c>
      <c r="C23" s="53">
        <v>1</v>
      </c>
      <c r="D23" s="45" t="s">
        <v>138</v>
      </c>
      <c r="E23" s="8" t="s">
        <v>13</v>
      </c>
      <c r="F23" s="9" t="s">
        <v>190</v>
      </c>
      <c r="G23" s="37">
        <v>45982</v>
      </c>
      <c r="H23" s="48">
        <v>45989</v>
      </c>
      <c r="I23" s="5">
        <f t="shared" si="0"/>
        <v>8</v>
      </c>
      <c r="J23" t="s">
        <v>1</v>
      </c>
    </row>
    <row r="24" spans="1:10" ht="29" x14ac:dyDescent="0.35">
      <c r="A24" s="63"/>
      <c r="B24" s="41"/>
      <c r="C24" s="53">
        <v>2</v>
      </c>
      <c r="D24" s="45" t="s">
        <v>137</v>
      </c>
      <c r="E24" s="8" t="s">
        <v>13</v>
      </c>
      <c r="F24" s="9" t="s">
        <v>190</v>
      </c>
      <c r="G24" s="37">
        <v>45982</v>
      </c>
      <c r="H24" s="48">
        <v>45989</v>
      </c>
      <c r="I24" s="5">
        <f t="shared" si="0"/>
        <v>8</v>
      </c>
      <c r="J24" t="s">
        <v>1</v>
      </c>
    </row>
    <row r="25" spans="1:10" ht="29" x14ac:dyDescent="0.35">
      <c r="A25" s="63"/>
      <c r="B25" s="41" t="s">
        <v>139</v>
      </c>
      <c r="C25" s="53">
        <v>1</v>
      </c>
      <c r="D25" s="45" t="s">
        <v>140</v>
      </c>
      <c r="E25" s="8" t="s">
        <v>13</v>
      </c>
      <c r="F25" s="9" t="s">
        <v>190</v>
      </c>
      <c r="G25" s="37">
        <v>45982</v>
      </c>
      <c r="H25" s="48">
        <v>45989</v>
      </c>
      <c r="I25" s="5">
        <f t="shared" si="0"/>
        <v>8</v>
      </c>
      <c r="J25" t="s">
        <v>1</v>
      </c>
    </row>
    <row r="26" spans="1:10" ht="29" x14ac:dyDescent="0.35">
      <c r="A26" s="63"/>
      <c r="B26" s="41"/>
      <c r="C26" s="53">
        <v>2</v>
      </c>
      <c r="D26" s="45" t="s">
        <v>141</v>
      </c>
      <c r="E26" s="8" t="s">
        <v>13</v>
      </c>
      <c r="F26" s="9" t="s">
        <v>190</v>
      </c>
      <c r="G26" s="37">
        <v>45982</v>
      </c>
      <c r="H26" s="48">
        <v>45989</v>
      </c>
      <c r="I26" s="5">
        <f t="shared" si="0"/>
        <v>8</v>
      </c>
      <c r="J26" t="s">
        <v>1</v>
      </c>
    </row>
    <row r="27" spans="1:10" ht="29" x14ac:dyDescent="0.35">
      <c r="A27" s="63"/>
      <c r="B27" s="41" t="s">
        <v>142</v>
      </c>
      <c r="C27" s="53">
        <v>1</v>
      </c>
      <c r="D27" s="45" t="s">
        <v>143</v>
      </c>
      <c r="E27" s="8" t="s">
        <v>13</v>
      </c>
      <c r="F27" s="9" t="s">
        <v>190</v>
      </c>
      <c r="G27" s="37">
        <v>45982</v>
      </c>
      <c r="H27" s="48">
        <v>45989</v>
      </c>
      <c r="I27" s="5">
        <f t="shared" si="0"/>
        <v>8</v>
      </c>
      <c r="J27" t="s">
        <v>1</v>
      </c>
    </row>
    <row r="28" spans="1:10" ht="29" x14ac:dyDescent="0.35">
      <c r="A28" s="64" t="s">
        <v>144</v>
      </c>
      <c r="B28" s="42" t="s">
        <v>145</v>
      </c>
      <c r="C28" s="54">
        <v>1</v>
      </c>
      <c r="D28" s="46" t="s">
        <v>146</v>
      </c>
      <c r="E28" s="8" t="s">
        <v>13</v>
      </c>
      <c r="F28" s="9" t="s">
        <v>190</v>
      </c>
      <c r="G28" s="37">
        <v>45992</v>
      </c>
      <c r="H28" s="48">
        <v>46021</v>
      </c>
      <c r="I28" s="5">
        <f t="shared" si="0"/>
        <v>30</v>
      </c>
      <c r="J28" t="s">
        <v>0</v>
      </c>
    </row>
    <row r="29" spans="1:10" ht="29" x14ac:dyDescent="0.35">
      <c r="A29" s="64"/>
      <c r="B29" s="42"/>
      <c r="C29" s="54">
        <v>2</v>
      </c>
      <c r="D29" s="46" t="s">
        <v>147</v>
      </c>
      <c r="E29" s="9" t="s">
        <v>13</v>
      </c>
      <c r="F29" s="9" t="s">
        <v>190</v>
      </c>
      <c r="G29" s="37">
        <v>45992</v>
      </c>
      <c r="H29" s="48">
        <v>46021</v>
      </c>
      <c r="I29" s="5">
        <f t="shared" si="0"/>
        <v>30</v>
      </c>
      <c r="J29" t="s">
        <v>0</v>
      </c>
    </row>
    <row r="30" spans="1:10" ht="29" x14ac:dyDescent="0.35">
      <c r="A30" s="64"/>
      <c r="B30" s="42" t="s">
        <v>148</v>
      </c>
      <c r="C30" s="54">
        <v>1</v>
      </c>
      <c r="D30" s="46" t="s">
        <v>149</v>
      </c>
      <c r="E30" s="9" t="s">
        <v>13</v>
      </c>
      <c r="F30" s="9" t="s">
        <v>190</v>
      </c>
      <c r="G30" s="37">
        <v>45992</v>
      </c>
      <c r="H30" s="48">
        <v>46021</v>
      </c>
      <c r="I30" s="5">
        <f t="shared" si="0"/>
        <v>30</v>
      </c>
      <c r="J30" t="s">
        <v>0</v>
      </c>
    </row>
    <row r="31" spans="1:10" ht="29" x14ac:dyDescent="0.35">
      <c r="A31" s="64"/>
      <c r="B31" s="42"/>
      <c r="C31" s="54">
        <v>2</v>
      </c>
      <c r="D31" s="46" t="s">
        <v>150</v>
      </c>
      <c r="E31" s="9" t="s">
        <v>13</v>
      </c>
      <c r="F31" s="9" t="s">
        <v>190</v>
      </c>
      <c r="G31" s="37">
        <v>45992</v>
      </c>
      <c r="H31" s="48">
        <v>46021</v>
      </c>
      <c r="I31" s="5">
        <f t="shared" si="0"/>
        <v>30</v>
      </c>
      <c r="J31" t="s">
        <v>0</v>
      </c>
    </row>
    <row r="32" spans="1:10" ht="29" x14ac:dyDescent="0.35">
      <c r="A32" s="64"/>
      <c r="B32" s="42" t="s">
        <v>151</v>
      </c>
      <c r="C32" s="54">
        <v>1</v>
      </c>
      <c r="D32" s="46" t="s">
        <v>192</v>
      </c>
      <c r="E32" s="9" t="s">
        <v>13</v>
      </c>
      <c r="F32" s="9" t="s">
        <v>190</v>
      </c>
      <c r="G32" s="37">
        <v>45992</v>
      </c>
      <c r="H32" s="48">
        <v>46021</v>
      </c>
      <c r="I32" s="5">
        <f t="shared" si="0"/>
        <v>30</v>
      </c>
      <c r="J32" t="s">
        <v>0</v>
      </c>
    </row>
    <row r="33" spans="1:10" ht="29" x14ac:dyDescent="0.35">
      <c r="A33" s="64"/>
      <c r="B33" s="42"/>
      <c r="C33" s="54">
        <v>2</v>
      </c>
      <c r="D33" s="46" t="s">
        <v>152</v>
      </c>
      <c r="E33" s="9" t="s">
        <v>13</v>
      </c>
      <c r="F33" s="9" t="s">
        <v>190</v>
      </c>
      <c r="G33" s="37">
        <v>45992</v>
      </c>
      <c r="H33" s="48">
        <v>46021</v>
      </c>
      <c r="I33" s="5">
        <f t="shared" si="0"/>
        <v>30</v>
      </c>
      <c r="J33" t="s">
        <v>0</v>
      </c>
    </row>
    <row r="34" spans="1:10" ht="29" x14ac:dyDescent="0.35">
      <c r="A34" s="64"/>
      <c r="B34" s="42" t="s">
        <v>153</v>
      </c>
      <c r="C34" s="54">
        <v>1</v>
      </c>
      <c r="D34" s="46" t="s">
        <v>154</v>
      </c>
      <c r="E34" s="9" t="s">
        <v>13</v>
      </c>
      <c r="F34" s="9" t="s">
        <v>190</v>
      </c>
      <c r="G34" s="37">
        <v>45992</v>
      </c>
      <c r="H34" s="48">
        <v>46021</v>
      </c>
      <c r="I34" s="5">
        <f t="shared" si="0"/>
        <v>30</v>
      </c>
      <c r="J34" t="s">
        <v>0</v>
      </c>
    </row>
    <row r="35" spans="1:10" x14ac:dyDescent="0.35">
      <c r="A35" s="64"/>
      <c r="B35" s="42"/>
      <c r="C35" s="54">
        <v>2</v>
      </c>
      <c r="D35" s="46" t="s">
        <v>155</v>
      </c>
      <c r="E35" s="9" t="s">
        <v>13</v>
      </c>
      <c r="F35" s="9" t="s">
        <v>190</v>
      </c>
      <c r="G35" s="37">
        <v>45992</v>
      </c>
      <c r="H35" s="48">
        <v>46021</v>
      </c>
      <c r="I35" s="5">
        <f t="shared" si="0"/>
        <v>30</v>
      </c>
      <c r="J35" t="s">
        <v>0</v>
      </c>
    </row>
    <row r="36" spans="1:10" ht="29" x14ac:dyDescent="0.35">
      <c r="A36" s="64"/>
      <c r="B36" s="42" t="s">
        <v>156</v>
      </c>
      <c r="C36" s="54">
        <v>1</v>
      </c>
      <c r="D36" s="46" t="s">
        <v>157</v>
      </c>
      <c r="E36" s="9" t="s">
        <v>13</v>
      </c>
      <c r="F36" s="9" t="s">
        <v>190</v>
      </c>
      <c r="G36" s="37">
        <v>45992</v>
      </c>
      <c r="H36" s="48">
        <v>46021</v>
      </c>
      <c r="I36" s="5">
        <f t="shared" si="0"/>
        <v>30</v>
      </c>
      <c r="J36" t="s">
        <v>0</v>
      </c>
    </row>
    <row r="37" spans="1:10" ht="29" x14ac:dyDescent="0.35">
      <c r="A37" s="64"/>
      <c r="B37" s="42"/>
      <c r="C37" s="54">
        <v>2</v>
      </c>
      <c r="D37" s="46" t="s">
        <v>193</v>
      </c>
      <c r="E37" s="9" t="s">
        <v>13</v>
      </c>
      <c r="F37" s="9" t="s">
        <v>190</v>
      </c>
      <c r="G37" s="37">
        <v>45992</v>
      </c>
      <c r="H37" s="48">
        <v>46021</v>
      </c>
      <c r="I37" s="5">
        <f t="shared" si="0"/>
        <v>30</v>
      </c>
      <c r="J37" t="s">
        <v>0</v>
      </c>
    </row>
    <row r="38" spans="1:10" ht="29" x14ac:dyDescent="0.35">
      <c r="A38" s="65" t="s">
        <v>158</v>
      </c>
      <c r="B38" s="43" t="s">
        <v>159</v>
      </c>
      <c r="C38" s="55">
        <v>1</v>
      </c>
      <c r="D38" s="47" t="s">
        <v>160</v>
      </c>
      <c r="E38" s="9" t="s">
        <v>13</v>
      </c>
      <c r="F38" s="9" t="s">
        <v>190</v>
      </c>
      <c r="G38" s="37">
        <v>45982</v>
      </c>
      <c r="H38" s="48"/>
      <c r="I38" s="5" t="str">
        <f t="shared" si="0"/>
        <v/>
      </c>
      <c r="J38" t="s">
        <v>1</v>
      </c>
    </row>
    <row r="39" spans="1:10" ht="29" x14ac:dyDescent="0.35">
      <c r="A39" s="65"/>
      <c r="B39" s="43"/>
      <c r="C39" s="55">
        <v>2</v>
      </c>
      <c r="D39" s="47" t="s">
        <v>161</v>
      </c>
      <c r="E39" s="9" t="s">
        <v>13</v>
      </c>
      <c r="F39" s="9" t="s">
        <v>190</v>
      </c>
      <c r="G39" s="37">
        <v>45982</v>
      </c>
      <c r="I39" s="5" t="str">
        <f t="shared" si="0"/>
        <v/>
      </c>
      <c r="J39" t="s">
        <v>1</v>
      </c>
    </row>
    <row r="40" spans="1:10" ht="29" x14ac:dyDescent="0.35">
      <c r="A40" s="65"/>
      <c r="B40" s="43" t="s">
        <v>162</v>
      </c>
      <c r="C40" s="55">
        <v>1</v>
      </c>
      <c r="D40" s="47" t="s">
        <v>163</v>
      </c>
      <c r="E40" s="9" t="s">
        <v>13</v>
      </c>
      <c r="F40" s="9" t="s">
        <v>190</v>
      </c>
      <c r="G40" s="37">
        <v>45982</v>
      </c>
      <c r="I40" s="5" t="str">
        <f t="shared" si="0"/>
        <v/>
      </c>
      <c r="J40" t="s">
        <v>1</v>
      </c>
    </row>
    <row r="41" spans="1:10" ht="29" x14ac:dyDescent="0.35">
      <c r="A41" s="65"/>
      <c r="B41" s="43"/>
      <c r="C41" s="55">
        <v>2</v>
      </c>
      <c r="D41" s="47" t="s">
        <v>164</v>
      </c>
      <c r="E41" s="9" t="s">
        <v>13</v>
      </c>
      <c r="F41" s="9" t="s">
        <v>190</v>
      </c>
      <c r="G41" s="37">
        <v>45982</v>
      </c>
      <c r="I41" s="5" t="str">
        <f t="shared" si="0"/>
        <v/>
      </c>
      <c r="J41" t="s">
        <v>1</v>
      </c>
    </row>
    <row r="42" spans="1:10" ht="29" x14ac:dyDescent="0.35">
      <c r="A42" s="65"/>
      <c r="B42" s="43" t="s">
        <v>165</v>
      </c>
      <c r="C42" s="55">
        <v>1</v>
      </c>
      <c r="D42" s="47" t="s">
        <v>166</v>
      </c>
      <c r="E42" s="9" t="s">
        <v>13</v>
      </c>
      <c r="F42" s="9" t="s">
        <v>190</v>
      </c>
      <c r="G42" s="37">
        <v>45982</v>
      </c>
      <c r="I42" s="5" t="str">
        <f t="shared" si="0"/>
        <v/>
      </c>
      <c r="J42" t="s">
        <v>1</v>
      </c>
    </row>
    <row r="43" spans="1:10" ht="29" x14ac:dyDescent="0.35">
      <c r="A43" s="65"/>
      <c r="B43" s="43"/>
      <c r="C43" s="55">
        <v>2</v>
      </c>
      <c r="D43" s="47" t="s">
        <v>167</v>
      </c>
      <c r="E43" s="9" t="s">
        <v>13</v>
      </c>
      <c r="F43" s="9" t="s">
        <v>190</v>
      </c>
      <c r="G43" s="37">
        <v>45982</v>
      </c>
      <c r="I43" s="5" t="str">
        <f t="shared" ref="I43:I74" si="1">IF(AND(G43&lt;&gt;"",H43&lt;&gt;""),H43-G43+1,"")</f>
        <v/>
      </c>
      <c r="J43" t="s">
        <v>1</v>
      </c>
    </row>
    <row r="44" spans="1:10" x14ac:dyDescent="0.35">
      <c r="A44" s="65"/>
      <c r="B44" s="43" t="s">
        <v>168</v>
      </c>
      <c r="C44" s="55">
        <v>1</v>
      </c>
      <c r="D44" s="47" t="s">
        <v>169</v>
      </c>
      <c r="E44" s="9" t="s">
        <v>13</v>
      </c>
      <c r="F44" s="9" t="s">
        <v>190</v>
      </c>
      <c r="G44" s="37">
        <v>45982</v>
      </c>
      <c r="I44" s="5" t="str">
        <f t="shared" si="1"/>
        <v/>
      </c>
      <c r="J44" t="s">
        <v>1</v>
      </c>
    </row>
    <row r="45" spans="1:10" x14ac:dyDescent="0.35">
      <c r="A45" s="65"/>
      <c r="B45" s="43"/>
      <c r="C45" s="55">
        <v>2</v>
      </c>
      <c r="D45" s="47" t="s">
        <v>170</v>
      </c>
      <c r="E45" s="9" t="s">
        <v>13</v>
      </c>
      <c r="F45" s="9" t="s">
        <v>190</v>
      </c>
      <c r="G45" s="37">
        <v>45982</v>
      </c>
      <c r="I45" s="5" t="str">
        <f t="shared" si="1"/>
        <v/>
      </c>
      <c r="J45" t="s">
        <v>1</v>
      </c>
    </row>
    <row r="46" spans="1:10" ht="101.5" x14ac:dyDescent="0.35">
      <c r="A46" s="50" t="s">
        <v>171</v>
      </c>
      <c r="B46" s="49" t="s">
        <v>172</v>
      </c>
      <c r="C46" s="56">
        <v>1</v>
      </c>
      <c r="D46" s="58" t="s">
        <v>173</v>
      </c>
      <c r="E46" s="9" t="s">
        <v>13</v>
      </c>
      <c r="F46" s="9" t="s">
        <v>190</v>
      </c>
      <c r="G46" s="37">
        <v>46024</v>
      </c>
      <c r="I46" s="5" t="str">
        <f t="shared" si="1"/>
        <v/>
      </c>
      <c r="J46" t="s">
        <v>0</v>
      </c>
    </row>
    <row r="47" spans="1:10" ht="29" x14ac:dyDescent="0.35">
      <c r="A47" s="50"/>
      <c r="B47" s="49"/>
      <c r="C47" s="57">
        <v>2</v>
      </c>
      <c r="D47" s="58" t="s">
        <v>174</v>
      </c>
      <c r="E47" s="9" t="s">
        <v>13</v>
      </c>
      <c r="F47" s="9" t="s">
        <v>190</v>
      </c>
      <c r="G47" s="37">
        <v>46024</v>
      </c>
      <c r="I47" s="5" t="str">
        <f t="shared" si="1"/>
        <v/>
      </c>
      <c r="J47" t="s">
        <v>0</v>
      </c>
    </row>
    <row r="48" spans="1:10" x14ac:dyDescent="0.35">
      <c r="A48" s="50"/>
      <c r="B48" s="49"/>
      <c r="C48" s="57">
        <v>3</v>
      </c>
      <c r="D48" s="59" t="s">
        <v>175</v>
      </c>
      <c r="E48" s="9" t="s">
        <v>13</v>
      </c>
      <c r="F48" s="9" t="s">
        <v>190</v>
      </c>
      <c r="G48" s="37">
        <v>46024</v>
      </c>
      <c r="I48" s="5" t="str">
        <f t="shared" si="1"/>
        <v/>
      </c>
      <c r="J48" t="s">
        <v>0</v>
      </c>
    </row>
    <row r="49" spans="1:10" ht="101.5" x14ac:dyDescent="0.35">
      <c r="A49" s="50"/>
      <c r="B49" s="49" t="s">
        <v>176</v>
      </c>
      <c r="C49" s="56">
        <v>1</v>
      </c>
      <c r="D49" s="58" t="s">
        <v>178</v>
      </c>
      <c r="E49" s="9" t="s">
        <v>13</v>
      </c>
      <c r="F49" s="9" t="s">
        <v>190</v>
      </c>
      <c r="G49" s="37">
        <v>46024</v>
      </c>
      <c r="I49" s="5" t="str">
        <f t="shared" si="1"/>
        <v/>
      </c>
      <c r="J49" t="s">
        <v>0</v>
      </c>
    </row>
    <row r="50" spans="1:10" ht="87" x14ac:dyDescent="0.35">
      <c r="A50" s="50"/>
      <c r="B50" s="49"/>
      <c r="C50" s="56">
        <v>2</v>
      </c>
      <c r="D50" s="58" t="s">
        <v>177</v>
      </c>
      <c r="E50" s="9" t="s">
        <v>13</v>
      </c>
      <c r="F50" s="9" t="s">
        <v>190</v>
      </c>
      <c r="G50" s="37">
        <v>46024</v>
      </c>
      <c r="I50" s="5" t="str">
        <f t="shared" si="1"/>
        <v/>
      </c>
      <c r="J50" t="s">
        <v>0</v>
      </c>
    </row>
    <row r="51" spans="1:10" ht="101.5" x14ac:dyDescent="0.35">
      <c r="A51" s="50"/>
      <c r="B51" s="49" t="s">
        <v>179</v>
      </c>
      <c r="C51" s="56">
        <v>1</v>
      </c>
      <c r="D51" s="58" t="s">
        <v>180</v>
      </c>
      <c r="E51" s="9" t="s">
        <v>13</v>
      </c>
      <c r="F51" s="9" t="s">
        <v>190</v>
      </c>
      <c r="G51" s="37">
        <v>46024</v>
      </c>
      <c r="I51" s="5" t="str">
        <f t="shared" si="1"/>
        <v/>
      </c>
      <c r="J51" t="s">
        <v>0</v>
      </c>
    </row>
    <row r="52" spans="1:10" x14ac:dyDescent="0.35">
      <c r="A52" s="50"/>
      <c r="B52" s="49"/>
      <c r="C52" s="56">
        <v>2</v>
      </c>
      <c r="D52" s="60" t="s">
        <v>181</v>
      </c>
      <c r="E52" s="9" t="s">
        <v>13</v>
      </c>
      <c r="F52" s="9" t="s">
        <v>190</v>
      </c>
      <c r="G52" s="37">
        <v>46024</v>
      </c>
      <c r="I52" s="5" t="str">
        <f t="shared" si="1"/>
        <v/>
      </c>
      <c r="J52" t="s">
        <v>0</v>
      </c>
    </row>
    <row r="53" spans="1:10" ht="72.5" x14ac:dyDescent="0.35">
      <c r="A53" s="50"/>
      <c r="B53" s="49" t="s">
        <v>182</v>
      </c>
      <c r="C53" s="56">
        <v>1</v>
      </c>
      <c r="D53" s="58" t="s">
        <v>183</v>
      </c>
      <c r="E53" s="9" t="s">
        <v>13</v>
      </c>
      <c r="F53" s="9" t="s">
        <v>190</v>
      </c>
      <c r="G53" s="37">
        <v>46024</v>
      </c>
      <c r="I53" s="5" t="str">
        <f t="shared" si="1"/>
        <v/>
      </c>
      <c r="J53" t="s">
        <v>0</v>
      </c>
    </row>
    <row r="54" spans="1:10" ht="87" x14ac:dyDescent="0.35">
      <c r="A54" s="50"/>
      <c r="B54" s="49"/>
      <c r="C54" s="56">
        <v>2</v>
      </c>
      <c r="D54" s="58" t="s">
        <v>184</v>
      </c>
      <c r="E54" s="9" t="s">
        <v>13</v>
      </c>
      <c r="F54" s="9" t="s">
        <v>190</v>
      </c>
      <c r="G54" s="37">
        <v>46024</v>
      </c>
      <c r="I54" s="5" t="str">
        <f t="shared" si="1"/>
        <v/>
      </c>
      <c r="J54" t="s">
        <v>0</v>
      </c>
    </row>
    <row r="55" spans="1:10" ht="87" x14ac:dyDescent="0.35">
      <c r="A55" s="50"/>
      <c r="B55" s="49" t="s">
        <v>185</v>
      </c>
      <c r="C55" s="56">
        <v>1</v>
      </c>
      <c r="D55" s="58" t="s">
        <v>186</v>
      </c>
      <c r="E55" s="9" t="s">
        <v>13</v>
      </c>
      <c r="F55" s="9" t="s">
        <v>190</v>
      </c>
      <c r="G55" s="37">
        <v>46024</v>
      </c>
      <c r="I55" s="5" t="str">
        <f t="shared" si="1"/>
        <v/>
      </c>
      <c r="J55" t="s">
        <v>0</v>
      </c>
    </row>
    <row r="56" spans="1:10" ht="87" x14ac:dyDescent="0.35">
      <c r="A56" s="50"/>
      <c r="B56" s="49"/>
      <c r="C56" s="56">
        <v>2</v>
      </c>
      <c r="D56" s="58" t="s">
        <v>187</v>
      </c>
      <c r="E56" s="9" t="s">
        <v>13</v>
      </c>
      <c r="F56" s="9" t="s">
        <v>190</v>
      </c>
      <c r="G56" s="37">
        <v>46024</v>
      </c>
      <c r="I56" s="5" t="str">
        <f t="shared" si="1"/>
        <v/>
      </c>
      <c r="J56" t="s">
        <v>0</v>
      </c>
    </row>
    <row r="57" spans="1:10" ht="29" x14ac:dyDescent="0.35">
      <c r="A57" s="66" t="s">
        <v>194</v>
      </c>
      <c r="B57" s="67" t="s">
        <v>195</v>
      </c>
      <c r="C57" s="68">
        <v>1</v>
      </c>
      <c r="D57" s="91" t="s">
        <v>196</v>
      </c>
      <c r="E57" s="9" t="s">
        <v>13</v>
      </c>
      <c r="F57" s="9" t="s">
        <v>190</v>
      </c>
      <c r="G57" s="37">
        <v>45982</v>
      </c>
      <c r="I57" s="5" t="str">
        <f t="shared" si="1"/>
        <v/>
      </c>
      <c r="J57" t="s">
        <v>1</v>
      </c>
    </row>
    <row r="58" spans="1:10" ht="29" x14ac:dyDescent="0.35">
      <c r="A58" s="66"/>
      <c r="B58" s="69"/>
      <c r="C58" s="68">
        <v>2</v>
      </c>
      <c r="D58" s="91" t="s">
        <v>197</v>
      </c>
      <c r="E58" s="9" t="s">
        <v>13</v>
      </c>
      <c r="F58" s="9" t="s">
        <v>190</v>
      </c>
      <c r="G58" s="37">
        <v>45982</v>
      </c>
      <c r="I58" s="5" t="str">
        <f t="shared" si="1"/>
        <v/>
      </c>
      <c r="J58" t="s">
        <v>1</v>
      </c>
    </row>
    <row r="59" spans="1:10" ht="29" x14ac:dyDescent="0.35">
      <c r="A59" s="66"/>
      <c r="B59" s="69" t="s">
        <v>198</v>
      </c>
      <c r="C59" s="68">
        <v>1</v>
      </c>
      <c r="D59" s="91" t="s">
        <v>199</v>
      </c>
      <c r="E59" s="9" t="s">
        <v>13</v>
      </c>
      <c r="F59" s="9" t="s">
        <v>190</v>
      </c>
      <c r="G59" s="37">
        <v>45982</v>
      </c>
      <c r="I59" s="5" t="str">
        <f t="shared" si="1"/>
        <v/>
      </c>
      <c r="J59" t="s">
        <v>1</v>
      </c>
    </row>
    <row r="60" spans="1:10" x14ac:dyDescent="0.35">
      <c r="A60" s="66"/>
      <c r="B60" s="69"/>
      <c r="C60" s="68">
        <v>2</v>
      </c>
      <c r="D60" s="91" t="s">
        <v>200</v>
      </c>
      <c r="E60" s="9" t="s">
        <v>13</v>
      </c>
      <c r="F60" s="9" t="s">
        <v>190</v>
      </c>
      <c r="G60" s="37">
        <v>45982</v>
      </c>
      <c r="I60" s="5" t="str">
        <f t="shared" si="1"/>
        <v/>
      </c>
      <c r="J60" t="s">
        <v>1</v>
      </c>
    </row>
    <row r="61" spans="1:10" ht="29" x14ac:dyDescent="0.35">
      <c r="A61" s="66"/>
      <c r="B61" s="69" t="s">
        <v>201</v>
      </c>
      <c r="C61" s="68">
        <v>1</v>
      </c>
      <c r="D61" s="91" t="s">
        <v>202</v>
      </c>
      <c r="E61" s="9" t="s">
        <v>13</v>
      </c>
      <c r="F61" s="9" t="s">
        <v>190</v>
      </c>
      <c r="G61" s="37">
        <v>45982</v>
      </c>
      <c r="I61" s="5" t="str">
        <f t="shared" si="1"/>
        <v/>
      </c>
      <c r="J61" t="s">
        <v>1</v>
      </c>
    </row>
    <row r="62" spans="1:10" x14ac:dyDescent="0.35">
      <c r="A62" s="66"/>
      <c r="B62" s="69"/>
      <c r="C62" s="68">
        <v>2</v>
      </c>
      <c r="D62" s="91" t="s">
        <v>203</v>
      </c>
      <c r="E62" s="9" t="s">
        <v>13</v>
      </c>
      <c r="F62" s="9" t="s">
        <v>190</v>
      </c>
      <c r="G62" s="37">
        <v>45982</v>
      </c>
      <c r="I62" s="5" t="str">
        <f t="shared" si="1"/>
        <v/>
      </c>
      <c r="J62" t="s">
        <v>1</v>
      </c>
    </row>
    <row r="63" spans="1:10" x14ac:dyDescent="0.35">
      <c r="A63" s="66"/>
      <c r="B63" s="69" t="s">
        <v>204</v>
      </c>
      <c r="C63" s="68">
        <v>1</v>
      </c>
      <c r="D63" s="91" t="s">
        <v>205</v>
      </c>
      <c r="E63" s="9" t="s">
        <v>13</v>
      </c>
      <c r="F63" s="9" t="s">
        <v>190</v>
      </c>
      <c r="G63" s="37">
        <v>45982</v>
      </c>
      <c r="I63" s="5" t="str">
        <f t="shared" si="1"/>
        <v/>
      </c>
      <c r="J63" t="s">
        <v>1</v>
      </c>
    </row>
    <row r="64" spans="1:10" x14ac:dyDescent="0.35">
      <c r="A64" s="66"/>
      <c r="B64" s="69"/>
      <c r="C64" s="68">
        <v>2</v>
      </c>
      <c r="D64" s="91" t="s">
        <v>206</v>
      </c>
      <c r="E64" s="9" t="s">
        <v>13</v>
      </c>
      <c r="F64" s="9" t="s">
        <v>190</v>
      </c>
      <c r="G64" s="37">
        <v>45982</v>
      </c>
      <c r="I64" s="5" t="str">
        <f t="shared" si="1"/>
        <v/>
      </c>
      <c r="J64" t="s">
        <v>1</v>
      </c>
    </row>
    <row r="65" spans="1:10" ht="29" x14ac:dyDescent="0.35">
      <c r="A65" s="77" t="s">
        <v>207</v>
      </c>
      <c r="B65" s="70" t="s">
        <v>208</v>
      </c>
      <c r="C65" s="78">
        <v>1</v>
      </c>
      <c r="D65" s="92" t="s">
        <v>209</v>
      </c>
      <c r="E65" s="9" t="s">
        <v>13</v>
      </c>
      <c r="F65" s="9" t="s">
        <v>190</v>
      </c>
      <c r="G65" s="37">
        <v>46024</v>
      </c>
      <c r="I65" s="5" t="str">
        <f t="shared" si="1"/>
        <v/>
      </c>
      <c r="J65" t="s">
        <v>0</v>
      </c>
    </row>
    <row r="66" spans="1:10" x14ac:dyDescent="0.35">
      <c r="A66" s="77"/>
      <c r="B66" s="70"/>
      <c r="C66" s="78">
        <v>2</v>
      </c>
      <c r="D66" s="92" t="s">
        <v>210</v>
      </c>
      <c r="E66" s="9" t="s">
        <v>13</v>
      </c>
      <c r="F66" s="9" t="s">
        <v>190</v>
      </c>
      <c r="G66" s="37">
        <v>46024</v>
      </c>
      <c r="I66" s="5" t="str">
        <f t="shared" si="1"/>
        <v/>
      </c>
      <c r="J66" t="s">
        <v>0</v>
      </c>
    </row>
    <row r="67" spans="1:10" ht="29" x14ac:dyDescent="0.35">
      <c r="A67" s="77"/>
      <c r="B67" s="70" t="s">
        <v>211</v>
      </c>
      <c r="C67" s="78">
        <v>1</v>
      </c>
      <c r="D67" s="92" t="s">
        <v>212</v>
      </c>
      <c r="E67" s="9" t="s">
        <v>13</v>
      </c>
      <c r="F67" s="9" t="s">
        <v>190</v>
      </c>
      <c r="G67" s="37">
        <v>46024</v>
      </c>
      <c r="I67" s="5" t="str">
        <f t="shared" si="1"/>
        <v/>
      </c>
      <c r="J67" t="s">
        <v>0</v>
      </c>
    </row>
    <row r="68" spans="1:10" x14ac:dyDescent="0.35">
      <c r="A68" s="77"/>
      <c r="B68" s="70"/>
      <c r="C68" s="78">
        <v>2</v>
      </c>
      <c r="D68" s="92" t="s">
        <v>213</v>
      </c>
      <c r="E68" s="9" t="s">
        <v>13</v>
      </c>
      <c r="F68" s="9" t="s">
        <v>190</v>
      </c>
      <c r="G68" s="37">
        <v>46024</v>
      </c>
      <c r="I68" s="5" t="str">
        <f t="shared" si="1"/>
        <v/>
      </c>
      <c r="J68" t="s">
        <v>0</v>
      </c>
    </row>
    <row r="69" spans="1:10" ht="29" x14ac:dyDescent="0.35">
      <c r="A69" s="77"/>
      <c r="B69" s="70" t="s">
        <v>214</v>
      </c>
      <c r="C69" s="78">
        <v>1</v>
      </c>
      <c r="D69" s="92" t="s">
        <v>215</v>
      </c>
      <c r="E69" s="9" t="s">
        <v>13</v>
      </c>
      <c r="F69" s="9" t="s">
        <v>190</v>
      </c>
      <c r="G69" s="37">
        <v>46024</v>
      </c>
      <c r="I69" s="5" t="str">
        <f t="shared" si="1"/>
        <v/>
      </c>
      <c r="J69" t="s">
        <v>0</v>
      </c>
    </row>
    <row r="70" spans="1:10" x14ac:dyDescent="0.35">
      <c r="A70" s="77"/>
      <c r="B70" s="70"/>
      <c r="C70" s="78">
        <v>2</v>
      </c>
      <c r="D70" s="92" t="s">
        <v>216</v>
      </c>
      <c r="E70" s="9" t="s">
        <v>13</v>
      </c>
      <c r="F70" s="9" t="s">
        <v>190</v>
      </c>
      <c r="G70" s="37">
        <v>46024</v>
      </c>
      <c r="I70" s="5" t="str">
        <f t="shared" si="1"/>
        <v/>
      </c>
      <c r="J70" t="s">
        <v>0</v>
      </c>
    </row>
    <row r="71" spans="1:10" ht="29" x14ac:dyDescent="0.35">
      <c r="A71" s="77"/>
      <c r="B71" s="70" t="s">
        <v>217</v>
      </c>
      <c r="C71" s="78">
        <v>1</v>
      </c>
      <c r="D71" s="92" t="s">
        <v>218</v>
      </c>
      <c r="E71" s="9" t="s">
        <v>13</v>
      </c>
      <c r="F71" s="9" t="s">
        <v>190</v>
      </c>
      <c r="G71" s="37">
        <v>46024</v>
      </c>
      <c r="I71" s="5" t="str">
        <f t="shared" si="1"/>
        <v/>
      </c>
      <c r="J71" t="s">
        <v>0</v>
      </c>
    </row>
    <row r="72" spans="1:10" x14ac:dyDescent="0.35">
      <c r="A72" s="77"/>
      <c r="B72" s="70"/>
      <c r="C72" s="78">
        <v>2</v>
      </c>
      <c r="D72" s="92" t="s">
        <v>219</v>
      </c>
      <c r="E72" s="9" t="s">
        <v>13</v>
      </c>
      <c r="F72" s="9" t="s">
        <v>190</v>
      </c>
      <c r="G72" s="37">
        <v>46024</v>
      </c>
      <c r="I72" s="5" t="str">
        <f t="shared" si="1"/>
        <v/>
      </c>
      <c r="J72" t="s">
        <v>0</v>
      </c>
    </row>
    <row r="73" spans="1:10" x14ac:dyDescent="0.35">
      <c r="A73" s="79" t="s">
        <v>220</v>
      </c>
      <c r="B73" s="71" t="s">
        <v>221</v>
      </c>
      <c r="C73" s="80">
        <v>1</v>
      </c>
      <c r="D73" s="93" t="s">
        <v>223</v>
      </c>
      <c r="E73" s="9" t="s">
        <v>13</v>
      </c>
      <c r="F73" s="9" t="s">
        <v>190</v>
      </c>
      <c r="G73" s="37">
        <v>45982</v>
      </c>
      <c r="I73" s="5" t="str">
        <f t="shared" si="1"/>
        <v/>
      </c>
      <c r="J73" t="s">
        <v>1</v>
      </c>
    </row>
    <row r="74" spans="1:10" x14ac:dyDescent="0.35">
      <c r="A74" s="79"/>
      <c r="B74" s="71"/>
      <c r="C74" s="80">
        <v>2</v>
      </c>
      <c r="D74" s="93" t="s">
        <v>222</v>
      </c>
      <c r="E74" s="9" t="s">
        <v>13</v>
      </c>
      <c r="F74" s="9" t="s">
        <v>190</v>
      </c>
      <c r="G74" s="37">
        <v>45982</v>
      </c>
      <c r="I74" s="5" t="str">
        <f t="shared" si="1"/>
        <v/>
      </c>
      <c r="J74" t="s">
        <v>1</v>
      </c>
    </row>
    <row r="75" spans="1:10" x14ac:dyDescent="0.35">
      <c r="A75" s="79"/>
      <c r="B75" s="71" t="s">
        <v>224</v>
      </c>
      <c r="C75" s="80">
        <v>1</v>
      </c>
      <c r="D75" s="93" t="s">
        <v>297</v>
      </c>
      <c r="E75" s="9" t="s">
        <v>13</v>
      </c>
      <c r="F75" s="9" t="s">
        <v>190</v>
      </c>
      <c r="G75" s="37">
        <v>45982</v>
      </c>
      <c r="I75" s="5" t="str">
        <f t="shared" ref="I75:I106" si="2">IF(AND(G75&lt;&gt;"",H75&lt;&gt;""),H75-G75+1,"")</f>
        <v/>
      </c>
      <c r="J75" t="s">
        <v>1</v>
      </c>
    </row>
    <row r="76" spans="1:10" x14ac:dyDescent="0.35">
      <c r="A76" s="79"/>
      <c r="B76" s="71"/>
      <c r="C76" s="80">
        <v>2</v>
      </c>
      <c r="D76" s="93" t="s">
        <v>225</v>
      </c>
      <c r="E76" s="9" t="s">
        <v>13</v>
      </c>
      <c r="F76" s="9" t="s">
        <v>190</v>
      </c>
      <c r="G76" s="37">
        <v>45982</v>
      </c>
      <c r="I76" s="5" t="str">
        <f t="shared" si="2"/>
        <v/>
      </c>
      <c r="J76" t="s">
        <v>1</v>
      </c>
    </row>
    <row r="77" spans="1:10" x14ac:dyDescent="0.35">
      <c r="A77" s="79"/>
      <c r="B77" s="71" t="s">
        <v>214</v>
      </c>
      <c r="C77" s="80">
        <v>1</v>
      </c>
      <c r="D77" s="93" t="s">
        <v>226</v>
      </c>
      <c r="E77" s="9" t="s">
        <v>13</v>
      </c>
      <c r="F77" s="9" t="s">
        <v>190</v>
      </c>
      <c r="G77" s="37">
        <v>45982</v>
      </c>
      <c r="I77" s="5" t="str">
        <f t="shared" si="2"/>
        <v/>
      </c>
      <c r="J77" t="s">
        <v>1</v>
      </c>
    </row>
    <row r="78" spans="1:10" x14ac:dyDescent="0.35">
      <c r="A78" s="79"/>
      <c r="B78" s="71"/>
      <c r="C78" s="80">
        <v>2</v>
      </c>
      <c r="D78" s="93" t="s">
        <v>227</v>
      </c>
      <c r="E78" s="9" t="s">
        <v>13</v>
      </c>
      <c r="F78" s="9" t="s">
        <v>190</v>
      </c>
      <c r="G78" s="37">
        <v>45982</v>
      </c>
      <c r="I78" s="5" t="str">
        <f t="shared" si="2"/>
        <v/>
      </c>
      <c r="J78" t="s">
        <v>1</v>
      </c>
    </row>
    <row r="79" spans="1:10" x14ac:dyDescent="0.35">
      <c r="A79" s="79"/>
      <c r="B79" s="71" t="s">
        <v>228</v>
      </c>
      <c r="C79" s="80">
        <v>1</v>
      </c>
      <c r="D79" s="93" t="s">
        <v>229</v>
      </c>
      <c r="E79" s="9" t="s">
        <v>13</v>
      </c>
      <c r="F79" s="9" t="s">
        <v>190</v>
      </c>
      <c r="G79" s="37">
        <v>45982</v>
      </c>
      <c r="I79" s="5" t="str">
        <f t="shared" si="2"/>
        <v/>
      </c>
      <c r="J79" t="s">
        <v>1</v>
      </c>
    </row>
    <row r="80" spans="1:10" x14ac:dyDescent="0.35">
      <c r="A80" s="79"/>
      <c r="B80" s="71"/>
      <c r="C80" s="80">
        <v>2</v>
      </c>
      <c r="D80" s="93" t="s">
        <v>230</v>
      </c>
      <c r="E80" s="9" t="s">
        <v>13</v>
      </c>
      <c r="F80" s="9" t="s">
        <v>190</v>
      </c>
      <c r="G80" s="37">
        <v>45982</v>
      </c>
      <c r="I80" s="5" t="str">
        <f t="shared" si="2"/>
        <v/>
      </c>
      <c r="J80" t="s">
        <v>1</v>
      </c>
    </row>
    <row r="81" spans="1:10" ht="29" x14ac:dyDescent="0.35">
      <c r="A81" s="81" t="s">
        <v>231</v>
      </c>
      <c r="B81" s="72" t="s">
        <v>232</v>
      </c>
      <c r="C81" s="82">
        <v>1</v>
      </c>
      <c r="D81" s="94" t="s">
        <v>233</v>
      </c>
      <c r="E81" s="9" t="s">
        <v>13</v>
      </c>
      <c r="F81" s="9" t="s">
        <v>190</v>
      </c>
      <c r="G81" s="37">
        <v>46055</v>
      </c>
      <c r="I81" s="5" t="str">
        <f t="shared" si="2"/>
        <v/>
      </c>
      <c r="J81" t="s">
        <v>0</v>
      </c>
    </row>
    <row r="82" spans="1:10" x14ac:dyDescent="0.35">
      <c r="A82" s="81"/>
      <c r="B82" s="72"/>
      <c r="C82" s="82">
        <v>2</v>
      </c>
      <c r="D82" s="94" t="s">
        <v>234</v>
      </c>
      <c r="E82" s="9" t="s">
        <v>13</v>
      </c>
      <c r="F82" s="9" t="s">
        <v>190</v>
      </c>
      <c r="G82" s="37">
        <v>46055</v>
      </c>
      <c r="I82" s="5" t="str">
        <f t="shared" si="2"/>
        <v/>
      </c>
      <c r="J82" t="s">
        <v>0</v>
      </c>
    </row>
    <row r="83" spans="1:10" x14ac:dyDescent="0.35">
      <c r="A83" s="81"/>
      <c r="B83" s="72" t="s">
        <v>235</v>
      </c>
      <c r="C83" s="82">
        <v>1</v>
      </c>
      <c r="D83" s="94" t="s">
        <v>236</v>
      </c>
      <c r="E83" s="9" t="s">
        <v>13</v>
      </c>
      <c r="F83" s="9" t="s">
        <v>190</v>
      </c>
      <c r="G83" s="37">
        <v>46055</v>
      </c>
      <c r="I83" s="5" t="str">
        <f t="shared" si="2"/>
        <v/>
      </c>
      <c r="J83" t="s">
        <v>0</v>
      </c>
    </row>
    <row r="84" spans="1:10" x14ac:dyDescent="0.35">
      <c r="A84" s="81"/>
      <c r="B84" s="72"/>
      <c r="C84" s="82">
        <v>2</v>
      </c>
      <c r="D84" s="94" t="s">
        <v>237</v>
      </c>
      <c r="E84" s="9" t="s">
        <v>13</v>
      </c>
      <c r="F84" s="9" t="s">
        <v>190</v>
      </c>
      <c r="G84" s="37">
        <v>46055</v>
      </c>
      <c r="I84" s="5" t="str">
        <f t="shared" si="2"/>
        <v/>
      </c>
      <c r="J84" t="s">
        <v>0</v>
      </c>
    </row>
    <row r="85" spans="1:10" x14ac:dyDescent="0.35">
      <c r="A85" s="81"/>
      <c r="B85" s="72" t="s">
        <v>238</v>
      </c>
      <c r="C85" s="82">
        <v>1</v>
      </c>
      <c r="D85" s="94" t="s">
        <v>239</v>
      </c>
      <c r="E85" s="9" t="s">
        <v>13</v>
      </c>
      <c r="F85" s="9" t="s">
        <v>190</v>
      </c>
      <c r="G85" s="37">
        <v>46055</v>
      </c>
      <c r="I85" s="5" t="str">
        <f t="shared" si="2"/>
        <v/>
      </c>
      <c r="J85" t="s">
        <v>0</v>
      </c>
    </row>
    <row r="86" spans="1:10" x14ac:dyDescent="0.35">
      <c r="A86" s="81"/>
      <c r="B86" s="72"/>
      <c r="C86" s="82">
        <v>2</v>
      </c>
      <c r="D86" s="94" t="s">
        <v>240</v>
      </c>
      <c r="E86" s="9" t="s">
        <v>13</v>
      </c>
      <c r="F86" s="9" t="s">
        <v>190</v>
      </c>
      <c r="G86" s="37">
        <v>46055</v>
      </c>
      <c r="I86" s="5" t="str">
        <f t="shared" si="2"/>
        <v/>
      </c>
      <c r="J86" t="s">
        <v>0</v>
      </c>
    </row>
    <row r="87" spans="1:10" ht="29" x14ac:dyDescent="0.35">
      <c r="A87" s="83" t="s">
        <v>241</v>
      </c>
      <c r="B87" s="73" t="s">
        <v>242</v>
      </c>
      <c r="C87" s="84">
        <v>1</v>
      </c>
      <c r="D87" s="95" t="s">
        <v>243</v>
      </c>
      <c r="E87" s="9" t="s">
        <v>13</v>
      </c>
      <c r="F87" s="9" t="s">
        <v>190</v>
      </c>
      <c r="G87" s="37">
        <v>45992</v>
      </c>
      <c r="I87" s="5" t="str">
        <f t="shared" si="2"/>
        <v/>
      </c>
      <c r="J87" t="s">
        <v>0</v>
      </c>
    </row>
    <row r="88" spans="1:10" x14ac:dyDescent="0.35">
      <c r="A88" s="83"/>
      <c r="B88" s="73"/>
      <c r="C88" s="84">
        <v>2</v>
      </c>
      <c r="D88" s="95" t="s">
        <v>244</v>
      </c>
      <c r="E88" s="9" t="s">
        <v>13</v>
      </c>
      <c r="F88" s="9" t="s">
        <v>190</v>
      </c>
      <c r="G88" s="37">
        <v>45992</v>
      </c>
      <c r="I88" s="5" t="str">
        <f t="shared" si="2"/>
        <v/>
      </c>
      <c r="J88" t="s">
        <v>0</v>
      </c>
    </row>
    <row r="89" spans="1:10" x14ac:dyDescent="0.35">
      <c r="A89" s="83"/>
      <c r="B89" s="73" t="s">
        <v>245</v>
      </c>
      <c r="C89" s="84">
        <v>1</v>
      </c>
      <c r="D89" s="95" t="s">
        <v>246</v>
      </c>
      <c r="E89" s="9" t="s">
        <v>13</v>
      </c>
      <c r="F89" s="9" t="s">
        <v>190</v>
      </c>
      <c r="G89" s="37">
        <v>45992</v>
      </c>
      <c r="I89" s="5" t="str">
        <f t="shared" si="2"/>
        <v/>
      </c>
      <c r="J89" t="s">
        <v>0</v>
      </c>
    </row>
    <row r="90" spans="1:10" x14ac:dyDescent="0.35">
      <c r="A90" s="83"/>
      <c r="B90" s="73"/>
      <c r="C90" s="84">
        <v>2</v>
      </c>
      <c r="D90" s="95" t="s">
        <v>247</v>
      </c>
      <c r="E90" s="9" t="s">
        <v>13</v>
      </c>
      <c r="F90" s="9" t="s">
        <v>190</v>
      </c>
      <c r="G90" s="37">
        <v>45992</v>
      </c>
      <c r="I90" s="5" t="str">
        <f t="shared" si="2"/>
        <v/>
      </c>
      <c r="J90" t="s">
        <v>0</v>
      </c>
    </row>
    <row r="91" spans="1:10" x14ac:dyDescent="0.35">
      <c r="A91" s="83"/>
      <c r="B91" s="73" t="s">
        <v>248</v>
      </c>
      <c r="C91" s="84">
        <v>1</v>
      </c>
      <c r="D91" s="95" t="s">
        <v>249</v>
      </c>
      <c r="E91" s="9" t="s">
        <v>13</v>
      </c>
      <c r="F91" s="9" t="s">
        <v>190</v>
      </c>
      <c r="G91" s="37">
        <v>45992</v>
      </c>
      <c r="I91" s="5" t="str">
        <f t="shared" si="2"/>
        <v/>
      </c>
      <c r="J91" t="s">
        <v>0</v>
      </c>
    </row>
    <row r="92" spans="1:10" x14ac:dyDescent="0.35">
      <c r="A92" s="83"/>
      <c r="B92" s="73"/>
      <c r="C92" s="84">
        <v>2</v>
      </c>
      <c r="D92" s="95" t="s">
        <v>250</v>
      </c>
      <c r="E92" s="9" t="s">
        <v>13</v>
      </c>
      <c r="F92" s="9" t="s">
        <v>190</v>
      </c>
      <c r="G92" s="37">
        <v>45992</v>
      </c>
      <c r="I92" s="5" t="str">
        <f t="shared" si="2"/>
        <v/>
      </c>
      <c r="J92" t="s">
        <v>0</v>
      </c>
    </row>
    <row r="93" spans="1:10" ht="29" x14ac:dyDescent="0.35">
      <c r="A93" s="85" t="s">
        <v>251</v>
      </c>
      <c r="B93" s="74" t="s">
        <v>252</v>
      </c>
      <c r="C93" s="86">
        <v>1</v>
      </c>
      <c r="D93" s="96" t="s">
        <v>298</v>
      </c>
      <c r="E93" s="9" t="s">
        <v>13</v>
      </c>
      <c r="F93" s="9" t="s">
        <v>190</v>
      </c>
      <c r="G93" s="37">
        <v>45992</v>
      </c>
      <c r="I93" s="5" t="str">
        <f t="shared" si="2"/>
        <v/>
      </c>
      <c r="J93" t="s">
        <v>0</v>
      </c>
    </row>
    <row r="94" spans="1:10" x14ac:dyDescent="0.35">
      <c r="A94" s="85"/>
      <c r="B94" s="74"/>
      <c r="C94" s="86">
        <v>2</v>
      </c>
      <c r="D94" s="96" t="s">
        <v>253</v>
      </c>
      <c r="E94" s="9" t="s">
        <v>13</v>
      </c>
      <c r="F94" s="9" t="s">
        <v>190</v>
      </c>
      <c r="G94" s="37">
        <v>45992</v>
      </c>
      <c r="I94" s="5" t="str">
        <f t="shared" si="2"/>
        <v/>
      </c>
      <c r="J94" t="s">
        <v>0</v>
      </c>
    </row>
    <row r="95" spans="1:10" ht="29" x14ac:dyDescent="0.35">
      <c r="A95" s="85"/>
      <c r="B95" s="74" t="s">
        <v>214</v>
      </c>
      <c r="C95" s="86">
        <v>1</v>
      </c>
      <c r="D95" s="96" t="s">
        <v>254</v>
      </c>
      <c r="E95" s="9" t="s">
        <v>13</v>
      </c>
      <c r="F95" s="9" t="s">
        <v>190</v>
      </c>
      <c r="G95" s="37">
        <v>45992</v>
      </c>
      <c r="I95" s="5" t="str">
        <f t="shared" si="2"/>
        <v/>
      </c>
      <c r="J95" t="s">
        <v>0</v>
      </c>
    </row>
    <row r="96" spans="1:10" ht="29" x14ac:dyDescent="0.35">
      <c r="A96" s="85"/>
      <c r="B96" s="74"/>
      <c r="C96" s="86">
        <v>2</v>
      </c>
      <c r="D96" s="96" t="s">
        <v>255</v>
      </c>
      <c r="E96" s="9" t="s">
        <v>13</v>
      </c>
      <c r="F96" s="9" t="s">
        <v>190</v>
      </c>
      <c r="G96" s="37">
        <v>45992</v>
      </c>
      <c r="I96" s="5" t="str">
        <f t="shared" si="2"/>
        <v/>
      </c>
      <c r="J96" t="s">
        <v>0</v>
      </c>
    </row>
    <row r="97" spans="1:10" x14ac:dyDescent="0.35">
      <c r="A97" s="85"/>
      <c r="B97" s="74" t="s">
        <v>168</v>
      </c>
      <c r="C97" s="86">
        <v>1</v>
      </c>
      <c r="D97" s="96" t="s">
        <v>256</v>
      </c>
      <c r="E97" s="9" t="s">
        <v>13</v>
      </c>
      <c r="F97" s="9" t="s">
        <v>190</v>
      </c>
      <c r="G97" s="37">
        <v>45992</v>
      </c>
      <c r="I97" s="5" t="str">
        <f t="shared" si="2"/>
        <v/>
      </c>
      <c r="J97" t="s">
        <v>0</v>
      </c>
    </row>
    <row r="98" spans="1:10" x14ac:dyDescent="0.35">
      <c r="A98" s="85"/>
      <c r="B98" s="74"/>
      <c r="C98" s="86">
        <v>2</v>
      </c>
      <c r="D98" s="96" t="s">
        <v>257</v>
      </c>
      <c r="E98" s="9" t="s">
        <v>13</v>
      </c>
      <c r="F98" s="9" t="s">
        <v>190</v>
      </c>
      <c r="G98" s="37">
        <v>45992</v>
      </c>
      <c r="I98" s="5" t="str">
        <f t="shared" si="2"/>
        <v/>
      </c>
      <c r="J98" t="s">
        <v>0</v>
      </c>
    </row>
    <row r="99" spans="1:10" x14ac:dyDescent="0.35">
      <c r="A99" s="87" t="s">
        <v>258</v>
      </c>
      <c r="B99" s="75" t="s">
        <v>259</v>
      </c>
      <c r="C99" s="88">
        <v>1</v>
      </c>
      <c r="D99" s="97" t="s">
        <v>260</v>
      </c>
      <c r="E99" s="9" t="s">
        <v>13</v>
      </c>
      <c r="F99" s="9" t="s">
        <v>190</v>
      </c>
      <c r="G99" s="37">
        <v>45982</v>
      </c>
      <c r="I99" s="5" t="str">
        <f t="shared" si="2"/>
        <v/>
      </c>
      <c r="J99" t="s">
        <v>1</v>
      </c>
    </row>
    <row r="100" spans="1:10" ht="29" x14ac:dyDescent="0.35">
      <c r="A100" s="87"/>
      <c r="B100" s="75" t="s">
        <v>261</v>
      </c>
      <c r="C100" s="88">
        <v>1</v>
      </c>
      <c r="D100" s="97" t="s">
        <v>262</v>
      </c>
      <c r="E100" s="9" t="s">
        <v>13</v>
      </c>
      <c r="F100" s="9" t="s">
        <v>190</v>
      </c>
      <c r="G100" s="37">
        <v>45982</v>
      </c>
      <c r="I100" s="5" t="str">
        <f t="shared" si="2"/>
        <v/>
      </c>
      <c r="J100" t="s">
        <v>1</v>
      </c>
    </row>
    <row r="101" spans="1:10" ht="29" x14ac:dyDescent="0.35">
      <c r="A101" s="87"/>
      <c r="B101" s="75" t="s">
        <v>214</v>
      </c>
      <c r="C101" s="88">
        <v>1</v>
      </c>
      <c r="D101" s="97" t="s">
        <v>263</v>
      </c>
      <c r="E101" s="9" t="s">
        <v>13</v>
      </c>
      <c r="F101" s="9" t="s">
        <v>190</v>
      </c>
      <c r="G101" s="37">
        <v>45982</v>
      </c>
      <c r="I101" s="5" t="str">
        <f t="shared" si="2"/>
        <v/>
      </c>
      <c r="J101" t="s">
        <v>1</v>
      </c>
    </row>
    <row r="102" spans="1:10" x14ac:dyDescent="0.35">
      <c r="A102" s="87"/>
      <c r="B102" s="75"/>
      <c r="C102" s="88">
        <v>2</v>
      </c>
      <c r="D102" s="97" t="s">
        <v>264</v>
      </c>
      <c r="E102" s="9" t="s">
        <v>13</v>
      </c>
      <c r="F102" s="9" t="s">
        <v>190</v>
      </c>
      <c r="G102" s="37">
        <v>45982</v>
      </c>
      <c r="I102" s="5" t="str">
        <f t="shared" si="2"/>
        <v/>
      </c>
      <c r="J102" t="s">
        <v>1</v>
      </c>
    </row>
    <row r="103" spans="1:10" x14ac:dyDescent="0.35">
      <c r="A103" s="79" t="s">
        <v>265</v>
      </c>
      <c r="B103" s="71" t="s">
        <v>266</v>
      </c>
      <c r="C103" s="80">
        <v>1</v>
      </c>
      <c r="D103" s="93" t="s">
        <v>267</v>
      </c>
      <c r="E103" s="9" t="s">
        <v>13</v>
      </c>
      <c r="F103" s="9" t="s">
        <v>190</v>
      </c>
      <c r="G103" s="37">
        <v>45982</v>
      </c>
      <c r="I103" s="5" t="str">
        <f t="shared" si="2"/>
        <v/>
      </c>
      <c r="J103" t="s">
        <v>1</v>
      </c>
    </row>
    <row r="104" spans="1:10" x14ac:dyDescent="0.35">
      <c r="A104" s="79"/>
      <c r="B104" s="71"/>
      <c r="C104" s="80">
        <v>2</v>
      </c>
      <c r="D104" s="93" t="s">
        <v>268</v>
      </c>
      <c r="E104" s="9" t="s">
        <v>13</v>
      </c>
      <c r="F104" s="9" t="s">
        <v>190</v>
      </c>
      <c r="G104" s="37">
        <v>45982</v>
      </c>
      <c r="I104" s="5" t="str">
        <f t="shared" si="2"/>
        <v/>
      </c>
      <c r="J104" t="s">
        <v>1</v>
      </c>
    </row>
    <row r="105" spans="1:10" x14ac:dyDescent="0.35">
      <c r="A105" s="79"/>
      <c r="B105" s="71" t="s">
        <v>269</v>
      </c>
      <c r="C105" s="80">
        <v>1</v>
      </c>
      <c r="D105" s="93" t="s">
        <v>270</v>
      </c>
      <c r="E105" s="9" t="s">
        <v>13</v>
      </c>
      <c r="F105" s="9" t="s">
        <v>190</v>
      </c>
      <c r="G105" s="37">
        <v>45982</v>
      </c>
      <c r="I105" s="5" t="str">
        <f t="shared" si="2"/>
        <v/>
      </c>
      <c r="J105" t="s">
        <v>1</v>
      </c>
    </row>
    <row r="106" spans="1:10" x14ac:dyDescent="0.35">
      <c r="A106" s="79"/>
      <c r="B106" s="71"/>
      <c r="C106" s="80">
        <v>2</v>
      </c>
      <c r="D106" s="93" t="s">
        <v>271</v>
      </c>
      <c r="E106" s="9" t="s">
        <v>13</v>
      </c>
      <c r="F106" s="9" t="s">
        <v>190</v>
      </c>
      <c r="G106" s="37">
        <v>45982</v>
      </c>
      <c r="I106" s="5" t="str">
        <f t="shared" si="2"/>
        <v/>
      </c>
      <c r="J106" t="s">
        <v>1</v>
      </c>
    </row>
    <row r="107" spans="1:10" x14ac:dyDescent="0.35">
      <c r="A107" s="79"/>
      <c r="B107" s="71" t="s">
        <v>168</v>
      </c>
      <c r="C107" s="80">
        <v>1</v>
      </c>
      <c r="D107" s="93" t="s">
        <v>272</v>
      </c>
      <c r="E107" s="9" t="s">
        <v>13</v>
      </c>
      <c r="F107" s="9" t="s">
        <v>190</v>
      </c>
      <c r="G107" s="37">
        <v>45982</v>
      </c>
      <c r="I107" s="5" t="str">
        <f t="shared" ref="I107:I138" si="3">IF(AND(G107&lt;&gt;"",H107&lt;&gt;""),H107-G107+1,"")</f>
        <v/>
      </c>
      <c r="J107" t="s">
        <v>1</v>
      </c>
    </row>
    <row r="108" spans="1:10" x14ac:dyDescent="0.35">
      <c r="A108" s="79"/>
      <c r="B108" s="71"/>
      <c r="C108" s="80">
        <v>2</v>
      </c>
      <c r="D108" s="93" t="s">
        <v>273</v>
      </c>
      <c r="E108" s="9" t="s">
        <v>13</v>
      </c>
      <c r="F108" s="9" t="s">
        <v>190</v>
      </c>
      <c r="G108" s="37">
        <v>45982</v>
      </c>
      <c r="I108" s="5" t="str">
        <f t="shared" si="3"/>
        <v/>
      </c>
      <c r="J108" t="s">
        <v>1</v>
      </c>
    </row>
    <row r="109" spans="1:10" ht="29" x14ac:dyDescent="0.35">
      <c r="A109" s="89" t="s">
        <v>274</v>
      </c>
      <c r="B109" s="76" t="s">
        <v>275</v>
      </c>
      <c r="C109" s="90">
        <v>1</v>
      </c>
      <c r="D109" s="98" t="s">
        <v>276</v>
      </c>
      <c r="E109" s="9" t="s">
        <v>13</v>
      </c>
      <c r="F109" s="9" t="s">
        <v>190</v>
      </c>
      <c r="G109" s="37">
        <v>46083</v>
      </c>
      <c r="I109" s="5" t="str">
        <f t="shared" si="3"/>
        <v/>
      </c>
      <c r="J109" t="s">
        <v>0</v>
      </c>
    </row>
    <row r="110" spans="1:10" x14ac:dyDescent="0.35">
      <c r="A110" s="89"/>
      <c r="B110" s="76"/>
      <c r="C110" s="90">
        <v>2</v>
      </c>
      <c r="D110" s="98" t="s">
        <v>277</v>
      </c>
      <c r="E110" s="9" t="s">
        <v>13</v>
      </c>
      <c r="F110" s="9" t="s">
        <v>190</v>
      </c>
      <c r="G110" s="37">
        <v>46083</v>
      </c>
      <c r="I110" s="5" t="str">
        <f t="shared" si="3"/>
        <v/>
      </c>
      <c r="J110" t="s">
        <v>0</v>
      </c>
    </row>
    <row r="111" spans="1:10" x14ac:dyDescent="0.35">
      <c r="A111" s="89"/>
      <c r="B111" s="76" t="s">
        <v>278</v>
      </c>
      <c r="C111" s="90">
        <v>1</v>
      </c>
      <c r="D111" s="98" t="s">
        <v>279</v>
      </c>
      <c r="E111" s="9" t="s">
        <v>13</v>
      </c>
      <c r="F111" s="9" t="s">
        <v>190</v>
      </c>
      <c r="G111" s="37">
        <v>46083</v>
      </c>
      <c r="I111" s="5" t="str">
        <f t="shared" si="3"/>
        <v/>
      </c>
      <c r="J111" t="s">
        <v>0</v>
      </c>
    </row>
    <row r="112" spans="1:10" x14ac:dyDescent="0.35">
      <c r="A112" s="89"/>
      <c r="B112" s="76"/>
      <c r="C112" s="90">
        <v>2</v>
      </c>
      <c r="D112" s="98" t="s">
        <v>280</v>
      </c>
      <c r="E112" s="9" t="s">
        <v>13</v>
      </c>
      <c r="F112" s="9" t="s">
        <v>190</v>
      </c>
      <c r="G112" s="37">
        <v>46083</v>
      </c>
      <c r="I112" s="5" t="str">
        <f t="shared" si="3"/>
        <v/>
      </c>
      <c r="J112" t="s">
        <v>0</v>
      </c>
    </row>
    <row r="113" spans="1:10" x14ac:dyDescent="0.35">
      <c r="A113" s="89"/>
      <c r="B113" s="76" t="s">
        <v>281</v>
      </c>
      <c r="C113" s="90">
        <v>1</v>
      </c>
      <c r="D113" s="98" t="s">
        <v>282</v>
      </c>
      <c r="E113" s="9" t="s">
        <v>13</v>
      </c>
      <c r="F113" s="9" t="s">
        <v>190</v>
      </c>
      <c r="G113" s="37">
        <v>46083</v>
      </c>
      <c r="I113" s="5" t="str">
        <f t="shared" si="3"/>
        <v/>
      </c>
      <c r="J113" t="s">
        <v>0</v>
      </c>
    </row>
    <row r="114" spans="1:10" ht="29" x14ac:dyDescent="0.35">
      <c r="A114" s="81" t="s">
        <v>283</v>
      </c>
      <c r="B114" s="72" t="s">
        <v>284</v>
      </c>
      <c r="C114" s="82">
        <v>1</v>
      </c>
      <c r="D114" s="94" t="s">
        <v>285</v>
      </c>
      <c r="E114" s="9" t="s">
        <v>13</v>
      </c>
      <c r="F114" s="9" t="s">
        <v>190</v>
      </c>
      <c r="G114" s="37">
        <v>46024</v>
      </c>
      <c r="I114" s="5" t="str">
        <f t="shared" si="3"/>
        <v/>
      </c>
      <c r="J114" t="s">
        <v>0</v>
      </c>
    </row>
    <row r="115" spans="1:10" x14ac:dyDescent="0.35">
      <c r="A115" s="81"/>
      <c r="B115" s="72"/>
      <c r="C115" s="82">
        <v>2</v>
      </c>
      <c r="D115" s="94" t="s">
        <v>286</v>
      </c>
      <c r="E115" s="9" t="s">
        <v>13</v>
      </c>
      <c r="F115" s="9" t="s">
        <v>190</v>
      </c>
      <c r="G115" s="37">
        <v>46024</v>
      </c>
      <c r="I115" s="5" t="str">
        <f t="shared" si="3"/>
        <v/>
      </c>
      <c r="J115" t="s">
        <v>0</v>
      </c>
    </row>
    <row r="116" spans="1:10" x14ac:dyDescent="0.35">
      <c r="A116" s="81"/>
      <c r="B116" s="72" t="s">
        <v>287</v>
      </c>
      <c r="C116" s="82">
        <v>1</v>
      </c>
      <c r="D116" s="94" t="s">
        <v>288</v>
      </c>
      <c r="E116" s="9" t="s">
        <v>13</v>
      </c>
      <c r="F116" s="9" t="s">
        <v>190</v>
      </c>
      <c r="G116" s="37">
        <v>46024</v>
      </c>
      <c r="I116" s="5" t="str">
        <f t="shared" si="3"/>
        <v/>
      </c>
      <c r="J116" t="s">
        <v>0</v>
      </c>
    </row>
    <row r="117" spans="1:10" x14ac:dyDescent="0.35">
      <c r="A117" s="81"/>
      <c r="B117" s="72"/>
      <c r="C117" s="82">
        <v>2</v>
      </c>
      <c r="D117" s="94" t="s">
        <v>289</v>
      </c>
      <c r="E117" s="9" t="s">
        <v>13</v>
      </c>
      <c r="F117" s="9" t="s">
        <v>190</v>
      </c>
      <c r="G117" s="37">
        <v>46024</v>
      </c>
      <c r="I117" s="5" t="str">
        <f t="shared" si="3"/>
        <v/>
      </c>
      <c r="J117" t="s">
        <v>0</v>
      </c>
    </row>
    <row r="118" spans="1:10" x14ac:dyDescent="0.35">
      <c r="A118" s="77" t="s">
        <v>290</v>
      </c>
      <c r="B118" s="70" t="s">
        <v>291</v>
      </c>
      <c r="C118" s="78">
        <v>1</v>
      </c>
      <c r="D118" s="92" t="s">
        <v>292</v>
      </c>
      <c r="E118" s="9" t="s">
        <v>13</v>
      </c>
      <c r="F118" s="9" t="s">
        <v>190</v>
      </c>
      <c r="G118" s="37">
        <v>45992</v>
      </c>
      <c r="I118" s="5" t="str">
        <f t="shared" si="3"/>
        <v/>
      </c>
      <c r="J118" t="s">
        <v>0</v>
      </c>
    </row>
    <row r="119" spans="1:10" ht="29" x14ac:dyDescent="0.35">
      <c r="A119" s="70"/>
      <c r="B119" s="70" t="s">
        <v>293</v>
      </c>
      <c r="C119" s="78">
        <v>1</v>
      </c>
      <c r="D119" s="92" t="s">
        <v>294</v>
      </c>
      <c r="E119" s="9" t="s">
        <v>13</v>
      </c>
      <c r="F119" s="9" t="s">
        <v>190</v>
      </c>
      <c r="G119" s="37">
        <v>45992</v>
      </c>
      <c r="I119" s="5" t="str">
        <f t="shared" si="3"/>
        <v/>
      </c>
      <c r="J119" t="s">
        <v>0</v>
      </c>
    </row>
    <row r="120" spans="1:10" ht="29" x14ac:dyDescent="0.35">
      <c r="A120" s="70"/>
      <c r="B120" s="70" t="s">
        <v>295</v>
      </c>
      <c r="C120" s="78">
        <v>1</v>
      </c>
      <c r="D120" s="92" t="s">
        <v>296</v>
      </c>
      <c r="E120" s="9" t="s">
        <v>13</v>
      </c>
      <c r="F120" s="9" t="s">
        <v>190</v>
      </c>
      <c r="G120" s="37">
        <v>45992</v>
      </c>
      <c r="I120" s="5" t="str">
        <f t="shared" si="3"/>
        <v/>
      </c>
      <c r="J120" t="s">
        <v>0</v>
      </c>
    </row>
    <row r="121" spans="1:10" x14ac:dyDescent="0.35">
      <c r="I121" s="5" t="str">
        <f t="shared" si="3"/>
        <v/>
      </c>
    </row>
    <row r="122" spans="1:10" x14ac:dyDescent="0.35">
      <c r="I122" s="5" t="str">
        <f t="shared" si="3"/>
        <v/>
      </c>
    </row>
    <row r="123" spans="1:10" x14ac:dyDescent="0.35">
      <c r="I123" s="5" t="str">
        <f t="shared" si="3"/>
        <v/>
      </c>
    </row>
    <row r="124" spans="1:10" x14ac:dyDescent="0.35">
      <c r="I124" s="5" t="str">
        <f t="shared" si="3"/>
        <v/>
      </c>
    </row>
    <row r="125" spans="1:10" x14ac:dyDescent="0.35">
      <c r="I125" s="5" t="str">
        <f t="shared" si="3"/>
        <v/>
      </c>
    </row>
    <row r="126" spans="1:10" x14ac:dyDescent="0.35">
      <c r="I126" s="5" t="str">
        <f t="shared" si="3"/>
        <v/>
      </c>
    </row>
    <row r="127" spans="1:10" x14ac:dyDescent="0.35">
      <c r="I127" s="5" t="str">
        <f t="shared" si="3"/>
        <v/>
      </c>
    </row>
    <row r="128" spans="1:10" x14ac:dyDescent="0.35">
      <c r="I128" s="5" t="str">
        <f t="shared" si="3"/>
        <v/>
      </c>
    </row>
    <row r="129" spans="9:9" x14ac:dyDescent="0.35">
      <c r="I129" s="5" t="str">
        <f t="shared" si="3"/>
        <v/>
      </c>
    </row>
    <row r="130" spans="9:9" x14ac:dyDescent="0.35">
      <c r="I130" s="5" t="str">
        <f t="shared" si="3"/>
        <v/>
      </c>
    </row>
    <row r="131" spans="9:9" x14ac:dyDescent="0.35">
      <c r="I131" s="5" t="str">
        <f t="shared" si="3"/>
        <v/>
      </c>
    </row>
    <row r="132" spans="9:9" x14ac:dyDescent="0.35">
      <c r="I132" s="5" t="str">
        <f t="shared" si="3"/>
        <v/>
      </c>
    </row>
    <row r="133" spans="9:9" x14ac:dyDescent="0.35">
      <c r="I133" s="5" t="str">
        <f t="shared" si="3"/>
        <v/>
      </c>
    </row>
    <row r="134" spans="9:9" x14ac:dyDescent="0.35">
      <c r="I134" s="5" t="str">
        <f t="shared" si="3"/>
        <v/>
      </c>
    </row>
    <row r="135" spans="9:9" x14ac:dyDescent="0.35">
      <c r="I135" s="5" t="str">
        <f t="shared" si="3"/>
        <v/>
      </c>
    </row>
    <row r="136" spans="9:9" x14ac:dyDescent="0.35">
      <c r="I136" s="5" t="str">
        <f t="shared" si="3"/>
        <v/>
      </c>
    </row>
    <row r="137" spans="9:9" x14ac:dyDescent="0.35">
      <c r="I137" s="5" t="str">
        <f t="shared" si="3"/>
        <v/>
      </c>
    </row>
    <row r="138" spans="9:9" x14ac:dyDescent="0.35">
      <c r="I138" s="5" t="str">
        <f t="shared" si="3"/>
        <v/>
      </c>
    </row>
    <row r="139" spans="9:9" x14ac:dyDescent="0.35">
      <c r="I139" s="5" t="str">
        <f t="shared" ref="I139:I170" si="4">IF(AND(G139&lt;&gt;"",H139&lt;&gt;""),H139-G139+1,"")</f>
        <v/>
      </c>
    </row>
    <row r="140" spans="9:9" x14ac:dyDescent="0.35">
      <c r="I140" s="5" t="str">
        <f t="shared" si="4"/>
        <v/>
      </c>
    </row>
    <row r="141" spans="9:9" x14ac:dyDescent="0.35">
      <c r="I141" s="5" t="str">
        <f t="shared" si="4"/>
        <v/>
      </c>
    </row>
    <row r="142" spans="9:9" x14ac:dyDescent="0.35">
      <c r="I142" s="5" t="str">
        <f t="shared" si="4"/>
        <v/>
      </c>
    </row>
    <row r="143" spans="9:9" x14ac:dyDescent="0.35">
      <c r="I143" s="5" t="str">
        <f t="shared" si="4"/>
        <v/>
      </c>
    </row>
    <row r="144" spans="9:9" x14ac:dyDescent="0.35">
      <c r="I144" s="5" t="str">
        <f t="shared" si="4"/>
        <v/>
      </c>
    </row>
    <row r="145" spans="9:9" x14ac:dyDescent="0.35">
      <c r="I145" s="5" t="str">
        <f t="shared" si="4"/>
        <v/>
      </c>
    </row>
    <row r="146" spans="9:9" x14ac:dyDescent="0.35">
      <c r="I146" s="5" t="str">
        <f t="shared" si="4"/>
        <v/>
      </c>
    </row>
    <row r="147" spans="9:9" x14ac:dyDescent="0.35">
      <c r="I147" s="5" t="str">
        <f t="shared" si="4"/>
        <v/>
      </c>
    </row>
    <row r="148" spans="9:9" x14ac:dyDescent="0.35">
      <c r="I148" s="5" t="str">
        <f t="shared" si="4"/>
        <v/>
      </c>
    </row>
    <row r="149" spans="9:9" x14ac:dyDescent="0.35">
      <c r="I149" s="5" t="str">
        <f t="shared" si="4"/>
        <v/>
      </c>
    </row>
    <row r="150" spans="9:9" x14ac:dyDescent="0.35">
      <c r="I150" s="5" t="str">
        <f t="shared" si="4"/>
        <v/>
      </c>
    </row>
    <row r="151" spans="9:9" x14ac:dyDescent="0.35">
      <c r="I151" s="5" t="str">
        <f t="shared" si="4"/>
        <v/>
      </c>
    </row>
    <row r="152" spans="9:9" x14ac:dyDescent="0.35">
      <c r="I152" s="5" t="str">
        <f t="shared" si="4"/>
        <v/>
      </c>
    </row>
    <row r="153" spans="9:9" x14ac:dyDescent="0.35">
      <c r="I153" s="5" t="str">
        <f t="shared" si="4"/>
        <v/>
      </c>
    </row>
    <row r="154" spans="9:9" x14ac:dyDescent="0.35">
      <c r="I154" s="5" t="str">
        <f t="shared" si="4"/>
        <v/>
      </c>
    </row>
    <row r="155" spans="9:9" x14ac:dyDescent="0.35">
      <c r="I155" s="5" t="str">
        <f t="shared" si="4"/>
        <v/>
      </c>
    </row>
    <row r="156" spans="9:9" x14ac:dyDescent="0.35">
      <c r="I156" s="5" t="str">
        <f t="shared" si="4"/>
        <v/>
      </c>
    </row>
    <row r="157" spans="9:9" x14ac:dyDescent="0.35">
      <c r="I157" s="5" t="str">
        <f t="shared" si="4"/>
        <v/>
      </c>
    </row>
    <row r="158" spans="9:9" x14ac:dyDescent="0.35">
      <c r="I158" s="5" t="str">
        <f t="shared" si="4"/>
        <v/>
      </c>
    </row>
    <row r="159" spans="9:9" x14ac:dyDescent="0.35">
      <c r="I159" s="5" t="str">
        <f t="shared" si="4"/>
        <v/>
      </c>
    </row>
    <row r="160" spans="9:9" x14ac:dyDescent="0.35">
      <c r="I160" s="5" t="str">
        <f t="shared" si="4"/>
        <v/>
      </c>
    </row>
    <row r="161" spans="9:9" x14ac:dyDescent="0.35">
      <c r="I161" s="5" t="str">
        <f t="shared" si="4"/>
        <v/>
      </c>
    </row>
    <row r="162" spans="9:9" x14ac:dyDescent="0.35">
      <c r="I162" s="5" t="str">
        <f t="shared" si="4"/>
        <v/>
      </c>
    </row>
    <row r="163" spans="9:9" x14ac:dyDescent="0.35">
      <c r="I163" s="5" t="str">
        <f t="shared" si="4"/>
        <v/>
      </c>
    </row>
    <row r="164" spans="9:9" x14ac:dyDescent="0.35">
      <c r="I164" s="5" t="str">
        <f t="shared" si="4"/>
        <v/>
      </c>
    </row>
    <row r="165" spans="9:9" x14ac:dyDescent="0.35">
      <c r="I165" s="5" t="str">
        <f t="shared" si="4"/>
        <v/>
      </c>
    </row>
    <row r="166" spans="9:9" x14ac:dyDescent="0.35">
      <c r="I166" s="5" t="str">
        <f t="shared" si="4"/>
        <v/>
      </c>
    </row>
    <row r="167" spans="9:9" x14ac:dyDescent="0.35">
      <c r="I167" s="5" t="str">
        <f t="shared" si="4"/>
        <v/>
      </c>
    </row>
    <row r="168" spans="9:9" x14ac:dyDescent="0.35">
      <c r="I168" s="5" t="str">
        <f t="shared" si="4"/>
        <v/>
      </c>
    </row>
    <row r="169" spans="9:9" x14ac:dyDescent="0.35">
      <c r="I169" s="5" t="str">
        <f t="shared" si="4"/>
        <v/>
      </c>
    </row>
    <row r="170" spans="9:9" x14ac:dyDescent="0.35">
      <c r="I170" s="5" t="str">
        <f t="shared" si="4"/>
        <v/>
      </c>
    </row>
    <row r="171" spans="9:9" x14ac:dyDescent="0.35">
      <c r="I171" s="5" t="str">
        <f t="shared" ref="I171:I201" si="5">IF(AND(G171&lt;&gt;"",H171&lt;&gt;""),H171-G171+1,"")</f>
        <v/>
      </c>
    </row>
    <row r="172" spans="9:9" x14ac:dyDescent="0.35">
      <c r="I172" s="5" t="str">
        <f t="shared" si="5"/>
        <v/>
      </c>
    </row>
    <row r="173" spans="9:9" x14ac:dyDescent="0.35">
      <c r="I173" s="5" t="str">
        <f t="shared" si="5"/>
        <v/>
      </c>
    </row>
    <row r="174" spans="9:9" x14ac:dyDescent="0.35">
      <c r="I174" s="5" t="str">
        <f t="shared" si="5"/>
        <v/>
      </c>
    </row>
    <row r="175" spans="9:9" x14ac:dyDescent="0.35">
      <c r="I175" s="5" t="str">
        <f t="shared" si="5"/>
        <v/>
      </c>
    </row>
    <row r="176" spans="9:9" x14ac:dyDescent="0.35">
      <c r="I176" s="5" t="str">
        <f t="shared" si="5"/>
        <v/>
      </c>
    </row>
    <row r="177" spans="9:9" x14ac:dyDescent="0.35">
      <c r="I177" s="5" t="str">
        <f t="shared" si="5"/>
        <v/>
      </c>
    </row>
    <row r="178" spans="9:9" x14ac:dyDescent="0.35">
      <c r="I178" s="5" t="str">
        <f t="shared" si="5"/>
        <v/>
      </c>
    </row>
    <row r="179" spans="9:9" x14ac:dyDescent="0.35">
      <c r="I179" s="5" t="str">
        <f t="shared" si="5"/>
        <v/>
      </c>
    </row>
    <row r="180" spans="9:9" x14ac:dyDescent="0.35">
      <c r="I180" s="5" t="str">
        <f t="shared" si="5"/>
        <v/>
      </c>
    </row>
    <row r="181" spans="9:9" x14ac:dyDescent="0.35">
      <c r="I181" s="5" t="str">
        <f t="shared" si="5"/>
        <v/>
      </c>
    </row>
    <row r="182" spans="9:9" x14ac:dyDescent="0.35">
      <c r="I182" s="5" t="str">
        <f t="shared" si="5"/>
        <v/>
      </c>
    </row>
    <row r="183" spans="9:9" x14ac:dyDescent="0.35">
      <c r="I183" s="5" t="str">
        <f t="shared" si="5"/>
        <v/>
      </c>
    </row>
    <row r="184" spans="9:9" x14ac:dyDescent="0.35">
      <c r="I184" s="5" t="str">
        <f t="shared" si="5"/>
        <v/>
      </c>
    </row>
    <row r="185" spans="9:9" x14ac:dyDescent="0.35">
      <c r="I185" s="5" t="str">
        <f t="shared" si="5"/>
        <v/>
      </c>
    </row>
    <row r="186" spans="9:9" x14ac:dyDescent="0.35">
      <c r="I186" s="5" t="str">
        <f t="shared" si="5"/>
        <v/>
      </c>
    </row>
    <row r="187" spans="9:9" x14ac:dyDescent="0.35">
      <c r="I187" s="5" t="str">
        <f t="shared" si="5"/>
        <v/>
      </c>
    </row>
    <row r="188" spans="9:9" x14ac:dyDescent="0.35">
      <c r="I188" s="5" t="str">
        <f t="shared" si="5"/>
        <v/>
      </c>
    </row>
    <row r="189" spans="9:9" x14ac:dyDescent="0.35">
      <c r="I189" s="5" t="str">
        <f t="shared" si="5"/>
        <v/>
      </c>
    </row>
    <row r="190" spans="9:9" x14ac:dyDescent="0.35">
      <c r="I190" s="5" t="str">
        <f t="shared" si="5"/>
        <v/>
      </c>
    </row>
    <row r="191" spans="9:9" x14ac:dyDescent="0.35">
      <c r="I191" s="5" t="str">
        <f t="shared" si="5"/>
        <v/>
      </c>
    </row>
    <row r="192" spans="9:9" x14ac:dyDescent="0.35">
      <c r="I192" s="5" t="str">
        <f t="shared" si="5"/>
        <v/>
      </c>
    </row>
    <row r="193" spans="9:9" x14ac:dyDescent="0.35">
      <c r="I193" s="5" t="str">
        <f t="shared" si="5"/>
        <v/>
      </c>
    </row>
    <row r="194" spans="9:9" x14ac:dyDescent="0.35">
      <c r="I194" s="5" t="str">
        <f t="shared" si="5"/>
        <v/>
      </c>
    </row>
    <row r="195" spans="9:9" x14ac:dyDescent="0.35">
      <c r="I195" s="5" t="str">
        <f t="shared" si="5"/>
        <v/>
      </c>
    </row>
    <row r="196" spans="9:9" x14ac:dyDescent="0.35">
      <c r="I196" s="5" t="str">
        <f t="shared" si="5"/>
        <v/>
      </c>
    </row>
    <row r="197" spans="9:9" x14ac:dyDescent="0.35">
      <c r="I197" s="5" t="str">
        <f t="shared" si="5"/>
        <v/>
      </c>
    </row>
    <row r="198" spans="9:9" x14ac:dyDescent="0.35">
      <c r="I198" s="5" t="str">
        <f t="shared" si="5"/>
        <v/>
      </c>
    </row>
    <row r="199" spans="9:9" x14ac:dyDescent="0.35">
      <c r="I199" s="5" t="str">
        <f t="shared" si="5"/>
        <v/>
      </c>
    </row>
    <row r="200" spans="9:9" x14ac:dyDescent="0.35">
      <c r="I200" s="5" t="str">
        <f t="shared" si="5"/>
        <v/>
      </c>
    </row>
    <row r="201" spans="9:9" x14ac:dyDescent="0.35">
      <c r="I201" s="5" t="str">
        <f t="shared" si="5"/>
        <v/>
      </c>
    </row>
  </sheetData>
  <mergeCells count="1">
    <mergeCell ref="A1:M1"/>
  </mergeCells>
  <dataValidations count="4">
    <dataValidation type="list" allowBlank="1" showInputMessage="1" showErrorMessage="1" sqref="E11:E201" xr:uid="{00000000-0002-0000-0100-000000000000}">
      <formula1>OwnerList</formula1>
    </dataValidation>
    <dataValidation type="list" allowBlank="1" showInputMessage="1" showErrorMessage="1" sqref="J11:J201" xr:uid="{00000000-0002-0000-0100-000001000000}">
      <formula1>StatusList</formula1>
    </dataValidation>
    <dataValidation type="list" allowBlank="1" showInputMessage="1" showErrorMessage="1" sqref="K11:K201" xr:uid="{00000000-0002-0000-0100-000002000000}">
      <formula1>RAGList</formula1>
    </dataValidation>
    <dataValidation type="list" allowBlank="1" showInputMessage="1" showErrorMessage="1" sqref="L11:L201" xr:uid="{00000000-0002-0000-0100-000003000000}">
      <formula1>PriorityList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6"/>
  <sheetViews>
    <sheetView topLeftCell="A5" zoomScaleNormal="100" workbookViewId="0">
      <selection activeCell="B7" sqref="B7"/>
    </sheetView>
  </sheetViews>
  <sheetFormatPr defaultRowHeight="14.5" x14ac:dyDescent="0.35"/>
  <cols>
    <col min="1" max="1" width="33.26953125" customWidth="1"/>
    <col min="2" max="2" width="58.7265625" customWidth="1"/>
    <col min="3" max="3" width="58.7265625" style="9" customWidth="1"/>
    <col min="4" max="4" width="10.7265625" customWidth="1"/>
    <col min="5" max="5" width="41.90625" style="14" customWidth="1"/>
    <col min="6" max="6" width="18.7265625" customWidth="1"/>
    <col min="7" max="7" width="16.08984375" style="1" customWidth="1"/>
    <col min="8" max="8" width="14.90625" style="1" customWidth="1"/>
    <col min="9" max="10" width="14.7265625" customWidth="1"/>
    <col min="11" max="11" width="8.7265625" customWidth="1"/>
    <col min="12" max="12" width="10.7265625" customWidth="1"/>
    <col min="13" max="13" width="10.7265625" style="2" customWidth="1"/>
    <col min="14" max="14" width="25.7265625" customWidth="1"/>
  </cols>
  <sheetData>
    <row r="1" spans="1:14" ht="21" x14ac:dyDescent="0.35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4" ht="43.5" x14ac:dyDescent="0.35">
      <c r="A3" s="11" t="s">
        <v>31</v>
      </c>
      <c r="B3" s="10" t="s">
        <v>49</v>
      </c>
      <c r="C3" s="12"/>
    </row>
    <row r="4" spans="1:14" ht="43.5" x14ac:dyDescent="0.35">
      <c r="A4" s="11" t="s">
        <v>16</v>
      </c>
      <c r="B4" s="10" t="s">
        <v>50</v>
      </c>
      <c r="C4" s="12"/>
    </row>
    <row r="5" spans="1:14" ht="58" x14ac:dyDescent="0.35">
      <c r="A5" s="11" t="s">
        <v>53</v>
      </c>
      <c r="B5" s="10" t="s">
        <v>52</v>
      </c>
      <c r="C5" s="12"/>
    </row>
    <row r="6" spans="1:14" x14ac:dyDescent="0.35">
      <c r="A6" s="11" t="s">
        <v>17</v>
      </c>
      <c r="B6" s="5" t="s">
        <v>51</v>
      </c>
      <c r="C6" s="13"/>
    </row>
    <row r="7" spans="1:14" x14ac:dyDescent="0.35">
      <c r="A7" s="11" t="s">
        <v>18</v>
      </c>
      <c r="B7" s="5" t="s">
        <v>306</v>
      </c>
      <c r="C7" s="13"/>
    </row>
    <row r="10" spans="1:14" x14ac:dyDescent="0.35">
      <c r="A10" s="4" t="s">
        <v>19</v>
      </c>
      <c r="B10" s="4" t="s">
        <v>20</v>
      </c>
      <c r="C10" s="4" t="s">
        <v>55</v>
      </c>
      <c r="D10" s="4" t="s">
        <v>40</v>
      </c>
      <c r="E10" s="15" t="s">
        <v>54</v>
      </c>
      <c r="F10" s="4" t="s">
        <v>111</v>
      </c>
      <c r="G10" s="4" t="s">
        <v>23</v>
      </c>
      <c r="H10" s="4" t="s">
        <v>112</v>
      </c>
      <c r="I10" s="4" t="s">
        <v>24</v>
      </c>
      <c r="J10" s="4" t="s">
        <v>25</v>
      </c>
      <c r="K10" s="4" t="s">
        <v>26</v>
      </c>
      <c r="L10" s="4" t="s">
        <v>27</v>
      </c>
      <c r="M10" s="4" t="s">
        <v>28</v>
      </c>
      <c r="N10" s="4" t="s">
        <v>29</v>
      </c>
    </row>
    <row r="11" spans="1:14" ht="43.5" x14ac:dyDescent="0.35">
      <c r="A11" s="16" t="s">
        <v>41</v>
      </c>
      <c r="B11" s="17" t="s">
        <v>45</v>
      </c>
      <c r="C11" s="17" t="s">
        <v>56</v>
      </c>
      <c r="D11" s="25">
        <v>1</v>
      </c>
      <c r="E11" s="30" t="s">
        <v>57</v>
      </c>
      <c r="F11" t="s">
        <v>13</v>
      </c>
      <c r="G11" s="37">
        <v>46027</v>
      </c>
      <c r="H11" s="48">
        <v>46031</v>
      </c>
      <c r="I11" s="5">
        <f t="shared" ref="I11:I57" si="0">IF(AND(G11&lt;&gt;"",H11&lt;&gt;""),H11-G11+1,"")</f>
        <v>5</v>
      </c>
      <c r="J11" t="s">
        <v>0</v>
      </c>
      <c r="K11" t="s">
        <v>8</v>
      </c>
      <c r="L11" t="s">
        <v>10</v>
      </c>
    </row>
    <row r="12" spans="1:14" s="9" customFormat="1" ht="29" x14ac:dyDescent="0.35">
      <c r="A12" s="16"/>
      <c r="B12" s="17"/>
      <c r="C12" s="17"/>
      <c r="D12" s="25">
        <v>2</v>
      </c>
      <c r="E12" s="30" t="s">
        <v>58</v>
      </c>
      <c r="F12" s="9" t="s">
        <v>13</v>
      </c>
      <c r="G12" s="37">
        <v>46027</v>
      </c>
      <c r="H12" s="48">
        <v>46031</v>
      </c>
      <c r="I12" s="5">
        <f t="shared" si="0"/>
        <v>5</v>
      </c>
      <c r="J12" s="9" t="s">
        <v>0</v>
      </c>
      <c r="K12" s="9" t="s">
        <v>8</v>
      </c>
      <c r="L12" s="9" t="s">
        <v>10</v>
      </c>
      <c r="M12" s="2"/>
    </row>
    <row r="13" spans="1:14" s="9" customFormat="1" ht="29" x14ac:dyDescent="0.35">
      <c r="A13" s="16"/>
      <c r="B13" s="17"/>
      <c r="C13" s="17"/>
      <c r="D13" s="25">
        <v>3</v>
      </c>
      <c r="E13" s="30" t="s">
        <v>59</v>
      </c>
      <c r="F13" s="9" t="s">
        <v>13</v>
      </c>
      <c r="G13" s="37">
        <v>46027</v>
      </c>
      <c r="H13" s="48">
        <v>46031</v>
      </c>
      <c r="I13" s="5">
        <f t="shared" si="0"/>
        <v>5</v>
      </c>
      <c r="J13" s="9" t="s">
        <v>0</v>
      </c>
      <c r="K13" s="9" t="s">
        <v>8</v>
      </c>
      <c r="L13" s="9" t="s">
        <v>10</v>
      </c>
      <c r="M13" s="2"/>
    </row>
    <row r="14" spans="1:14" s="9" customFormat="1" ht="29" x14ac:dyDescent="0.35">
      <c r="A14" s="16"/>
      <c r="B14" s="17"/>
      <c r="C14" s="17" t="s">
        <v>60</v>
      </c>
      <c r="D14" s="26">
        <v>1</v>
      </c>
      <c r="E14" s="30" t="s">
        <v>61</v>
      </c>
      <c r="F14" s="9" t="s">
        <v>13</v>
      </c>
      <c r="G14" s="37">
        <v>46027</v>
      </c>
      <c r="H14" s="48">
        <v>46031</v>
      </c>
      <c r="I14" s="5">
        <f t="shared" si="0"/>
        <v>5</v>
      </c>
      <c r="J14" s="9" t="s">
        <v>0</v>
      </c>
      <c r="K14" s="9" t="s">
        <v>8</v>
      </c>
      <c r="L14" s="9" t="s">
        <v>10</v>
      </c>
      <c r="M14" s="2"/>
    </row>
    <row r="15" spans="1:14" s="9" customFormat="1" ht="29" x14ac:dyDescent="0.35">
      <c r="A15" s="16"/>
      <c r="B15" s="17"/>
      <c r="C15" s="17"/>
      <c r="D15" s="26">
        <v>2</v>
      </c>
      <c r="E15" s="30" t="s">
        <v>62</v>
      </c>
      <c r="F15" s="9" t="s">
        <v>13</v>
      </c>
      <c r="G15" s="37">
        <v>46034</v>
      </c>
      <c r="H15" s="48">
        <v>46035</v>
      </c>
      <c r="I15" s="5">
        <f t="shared" si="0"/>
        <v>2</v>
      </c>
      <c r="J15" s="9" t="s">
        <v>0</v>
      </c>
      <c r="K15" s="9" t="s">
        <v>8</v>
      </c>
      <c r="L15" s="9" t="s">
        <v>10</v>
      </c>
      <c r="M15" s="2"/>
    </row>
    <row r="16" spans="1:14" s="9" customFormat="1" ht="29" x14ac:dyDescent="0.35">
      <c r="A16" s="16"/>
      <c r="B16" s="17"/>
      <c r="C16" s="17"/>
      <c r="D16" s="26">
        <v>3</v>
      </c>
      <c r="E16" s="30" t="s">
        <v>63</v>
      </c>
      <c r="F16" s="9" t="s">
        <v>13</v>
      </c>
      <c r="G16" s="37">
        <v>46036</v>
      </c>
      <c r="H16" s="48">
        <v>46037</v>
      </c>
      <c r="I16" s="5">
        <f t="shared" si="0"/>
        <v>2</v>
      </c>
      <c r="J16" s="9" t="s">
        <v>0</v>
      </c>
      <c r="K16" s="9" t="s">
        <v>8</v>
      </c>
      <c r="L16" s="9" t="s">
        <v>10</v>
      </c>
      <c r="M16" s="2"/>
    </row>
    <row r="17" spans="1:13" s="9" customFormat="1" ht="29" x14ac:dyDescent="0.35">
      <c r="A17" s="16"/>
      <c r="B17" s="17"/>
      <c r="C17" s="17" t="s">
        <v>64</v>
      </c>
      <c r="D17" s="26">
        <v>1</v>
      </c>
      <c r="E17" s="30" t="s">
        <v>65</v>
      </c>
      <c r="F17" s="9" t="s">
        <v>13</v>
      </c>
      <c r="G17" s="37">
        <v>46038</v>
      </c>
      <c r="H17" s="48">
        <v>46042</v>
      </c>
      <c r="I17" s="5">
        <f t="shared" si="0"/>
        <v>5</v>
      </c>
      <c r="J17" s="9" t="s">
        <v>0</v>
      </c>
      <c r="K17" s="9" t="s">
        <v>8</v>
      </c>
      <c r="L17" s="9" t="s">
        <v>10</v>
      </c>
      <c r="M17" s="2"/>
    </row>
    <row r="18" spans="1:13" s="9" customFormat="1" ht="29" x14ac:dyDescent="0.35">
      <c r="A18" s="16"/>
      <c r="B18" s="17"/>
      <c r="C18" s="17"/>
      <c r="D18" s="26">
        <v>2</v>
      </c>
      <c r="E18" s="30" t="s">
        <v>66</v>
      </c>
      <c r="F18" s="9" t="s">
        <v>13</v>
      </c>
      <c r="G18" s="37">
        <v>46043</v>
      </c>
      <c r="H18" s="48">
        <v>46045</v>
      </c>
      <c r="I18" s="5">
        <f t="shared" si="0"/>
        <v>3</v>
      </c>
      <c r="J18" s="9" t="s">
        <v>0</v>
      </c>
      <c r="K18" s="9" t="s">
        <v>8</v>
      </c>
      <c r="L18" s="9" t="s">
        <v>10</v>
      </c>
      <c r="M18" s="2"/>
    </row>
    <row r="19" spans="1:13" s="9" customFormat="1" ht="29" x14ac:dyDescent="0.35">
      <c r="A19" s="16"/>
      <c r="B19" s="17"/>
      <c r="C19" s="17"/>
      <c r="D19" s="26">
        <v>3</v>
      </c>
      <c r="E19" s="30" t="s">
        <v>113</v>
      </c>
      <c r="F19" s="9" t="s">
        <v>13</v>
      </c>
      <c r="G19" s="37">
        <v>46048</v>
      </c>
      <c r="H19" s="48">
        <v>46050</v>
      </c>
      <c r="I19" s="5">
        <f t="shared" si="0"/>
        <v>3</v>
      </c>
      <c r="J19" s="9" t="s">
        <v>0</v>
      </c>
      <c r="K19" s="9" t="s">
        <v>8</v>
      </c>
      <c r="L19" s="9" t="s">
        <v>10</v>
      </c>
      <c r="M19" s="2"/>
    </row>
    <row r="20" spans="1:13" s="9" customFormat="1" x14ac:dyDescent="0.35">
      <c r="A20" s="16"/>
      <c r="B20" s="17"/>
      <c r="C20" s="17" t="s">
        <v>67</v>
      </c>
      <c r="D20" s="26">
        <v>1</v>
      </c>
      <c r="E20" s="30" t="s">
        <v>68</v>
      </c>
      <c r="F20" s="9" t="s">
        <v>13</v>
      </c>
      <c r="G20" s="37">
        <v>46051</v>
      </c>
      <c r="H20" s="48">
        <v>46053</v>
      </c>
      <c r="I20" s="5">
        <f t="shared" si="0"/>
        <v>3</v>
      </c>
      <c r="J20" s="9" t="s">
        <v>0</v>
      </c>
      <c r="K20" s="9" t="s">
        <v>8</v>
      </c>
      <c r="L20" s="9" t="s">
        <v>10</v>
      </c>
      <c r="M20" s="2"/>
    </row>
    <row r="21" spans="1:13" s="9" customFormat="1" x14ac:dyDescent="0.35">
      <c r="A21" s="16"/>
      <c r="B21" s="17"/>
      <c r="C21" s="17"/>
      <c r="D21" s="26">
        <v>2</v>
      </c>
      <c r="E21" s="30" t="s">
        <v>69</v>
      </c>
      <c r="F21" s="9" t="s">
        <v>13</v>
      </c>
      <c r="G21" s="37">
        <v>46051</v>
      </c>
      <c r="H21" s="48">
        <v>46053</v>
      </c>
      <c r="I21" s="5">
        <f t="shared" si="0"/>
        <v>3</v>
      </c>
      <c r="J21" s="9" t="s">
        <v>0</v>
      </c>
      <c r="K21" s="9" t="s">
        <v>8</v>
      </c>
      <c r="L21" s="9" t="s">
        <v>10</v>
      </c>
      <c r="M21" s="2"/>
    </row>
    <row r="22" spans="1:13" s="9" customFormat="1" x14ac:dyDescent="0.35">
      <c r="A22" s="16"/>
      <c r="B22" s="17"/>
      <c r="C22" s="17"/>
      <c r="D22" s="26">
        <v>3</v>
      </c>
      <c r="E22" s="30" t="s">
        <v>70</v>
      </c>
      <c r="F22" s="9" t="s">
        <v>13</v>
      </c>
      <c r="G22" s="37">
        <v>46051</v>
      </c>
      <c r="H22" s="48">
        <v>46053</v>
      </c>
      <c r="I22" s="5">
        <f t="shared" si="0"/>
        <v>3</v>
      </c>
      <c r="J22" s="9" t="s">
        <v>0</v>
      </c>
      <c r="K22" s="9" t="s">
        <v>8</v>
      </c>
      <c r="L22" s="9" t="s">
        <v>10</v>
      </c>
      <c r="M22" s="2"/>
    </row>
    <row r="23" spans="1:13" ht="58" x14ac:dyDescent="0.35">
      <c r="A23" s="18" t="s">
        <v>42</v>
      </c>
      <c r="B23" s="19" t="s">
        <v>46</v>
      </c>
      <c r="C23" s="19" t="s">
        <v>71</v>
      </c>
      <c r="D23" s="27">
        <v>1</v>
      </c>
      <c r="E23" s="31" t="s">
        <v>72</v>
      </c>
      <c r="F23" s="9" t="s">
        <v>13</v>
      </c>
      <c r="G23" s="38">
        <v>46055</v>
      </c>
      <c r="H23" s="48">
        <v>46059</v>
      </c>
      <c r="I23" s="5">
        <f>IF(AND(G23&lt;&gt;"",H23&lt;&gt;""),H23-G23+1,"")</f>
        <v>5</v>
      </c>
      <c r="J23" t="s">
        <v>0</v>
      </c>
      <c r="K23" t="s">
        <v>8</v>
      </c>
      <c r="L23" t="s">
        <v>10</v>
      </c>
    </row>
    <row r="24" spans="1:13" s="9" customFormat="1" ht="29" x14ac:dyDescent="0.35">
      <c r="A24" s="18"/>
      <c r="B24" s="19"/>
      <c r="C24" s="19"/>
      <c r="D24" s="27">
        <v>2</v>
      </c>
      <c r="E24" s="31" t="s">
        <v>73</v>
      </c>
      <c r="F24" s="9" t="s">
        <v>13</v>
      </c>
      <c r="G24" s="38">
        <v>46055</v>
      </c>
      <c r="H24" s="48">
        <v>46059</v>
      </c>
      <c r="I24" s="5">
        <f>IF(AND(G24&lt;&gt;"",H24&lt;&gt;""),H24-G24+1,"")</f>
        <v>5</v>
      </c>
      <c r="J24" s="9" t="s">
        <v>0</v>
      </c>
      <c r="K24" s="9" t="s">
        <v>8</v>
      </c>
      <c r="L24" s="9" t="s">
        <v>10</v>
      </c>
      <c r="M24" s="2"/>
    </row>
    <row r="25" spans="1:13" s="9" customFormat="1" x14ac:dyDescent="0.35">
      <c r="A25" s="18"/>
      <c r="B25" s="19"/>
      <c r="C25" s="19" t="s">
        <v>74</v>
      </c>
      <c r="D25" s="27">
        <v>1</v>
      </c>
      <c r="E25" s="31" t="s">
        <v>75</v>
      </c>
      <c r="F25" s="9" t="s">
        <v>110</v>
      </c>
      <c r="G25" s="38">
        <v>46062</v>
      </c>
      <c r="H25" s="48">
        <v>46073</v>
      </c>
      <c r="I25" s="5">
        <f>IF(AND(G25&lt;&gt;"",H25&lt;&gt;""),H25-G25+1,"")</f>
        <v>12</v>
      </c>
      <c r="J25" s="9" t="s">
        <v>0</v>
      </c>
      <c r="K25" s="9" t="s">
        <v>8</v>
      </c>
      <c r="L25" s="9" t="s">
        <v>10</v>
      </c>
      <c r="M25" s="2"/>
    </row>
    <row r="26" spans="1:13" s="9" customFormat="1" ht="29" x14ac:dyDescent="0.35">
      <c r="A26" s="18"/>
      <c r="B26" s="19"/>
      <c r="C26" s="19"/>
      <c r="D26" s="27">
        <v>2</v>
      </c>
      <c r="E26" s="31" t="s">
        <v>76</v>
      </c>
      <c r="F26" s="9" t="s">
        <v>110</v>
      </c>
      <c r="G26" s="38">
        <v>46062</v>
      </c>
      <c r="H26" s="48">
        <v>46073</v>
      </c>
      <c r="I26" s="5">
        <f>IF(AND(G26&lt;&gt;"",H26&lt;&gt;""),H26-G26+1,"")</f>
        <v>12</v>
      </c>
      <c r="J26" s="9" t="s">
        <v>0</v>
      </c>
      <c r="K26" s="9" t="s">
        <v>8</v>
      </c>
      <c r="L26" s="9" t="s">
        <v>10</v>
      </c>
      <c r="M26" s="2"/>
    </row>
    <row r="27" spans="1:13" s="9" customFormat="1" ht="43.5" x14ac:dyDescent="0.35">
      <c r="A27" s="18"/>
      <c r="B27" s="19"/>
      <c r="C27" s="19" t="s">
        <v>77</v>
      </c>
      <c r="D27" s="27">
        <v>1</v>
      </c>
      <c r="E27" s="32" t="s">
        <v>78</v>
      </c>
      <c r="F27" s="9" t="s">
        <v>13</v>
      </c>
      <c r="G27" s="38">
        <v>46076</v>
      </c>
      <c r="H27" s="48">
        <v>46076</v>
      </c>
      <c r="I27" s="5">
        <f>IF(AND(G27&lt;&gt;"",H27&lt;&gt;""),H27-G27+1,"")</f>
        <v>1</v>
      </c>
      <c r="J27" s="9" t="s">
        <v>0</v>
      </c>
      <c r="K27" s="9" t="s">
        <v>8</v>
      </c>
      <c r="L27" s="9" t="s">
        <v>10</v>
      </c>
      <c r="M27" s="2"/>
    </row>
    <row r="28" spans="1:13" ht="29" x14ac:dyDescent="0.35">
      <c r="A28" s="20"/>
      <c r="B28" s="19"/>
      <c r="C28" s="19"/>
      <c r="D28" s="27">
        <v>2</v>
      </c>
      <c r="E28" s="32" t="s">
        <v>79</v>
      </c>
      <c r="F28" s="9" t="s">
        <v>13</v>
      </c>
      <c r="G28" s="38">
        <v>46076</v>
      </c>
      <c r="H28" s="48">
        <v>46076</v>
      </c>
      <c r="I28" s="5">
        <f t="shared" ref="I28:I50" si="1">IF(AND(G28&lt;&gt;"",H28&lt;&gt;""),H28-G28+1,"")</f>
        <v>1</v>
      </c>
      <c r="J28" t="s">
        <v>0</v>
      </c>
      <c r="K28" t="s">
        <v>8</v>
      </c>
      <c r="L28" t="s">
        <v>10</v>
      </c>
    </row>
    <row r="29" spans="1:13" x14ac:dyDescent="0.35">
      <c r="A29" s="19"/>
      <c r="B29" s="19"/>
      <c r="C29" s="19" t="s">
        <v>80</v>
      </c>
      <c r="D29" s="27">
        <v>1</v>
      </c>
      <c r="E29" s="31" t="s">
        <v>81</v>
      </c>
      <c r="F29" s="9" t="s">
        <v>13</v>
      </c>
      <c r="G29" s="38">
        <v>46077</v>
      </c>
      <c r="H29" s="48">
        <v>46080</v>
      </c>
      <c r="I29" s="5">
        <f t="shared" si="1"/>
        <v>4</v>
      </c>
      <c r="J29" t="s">
        <v>0</v>
      </c>
      <c r="K29" t="s">
        <v>8</v>
      </c>
      <c r="L29" t="s">
        <v>10</v>
      </c>
    </row>
    <row r="30" spans="1:13" s="9" customFormat="1" ht="29" x14ac:dyDescent="0.35">
      <c r="A30" s="18"/>
      <c r="B30" s="19"/>
      <c r="C30" s="19"/>
      <c r="D30" s="27">
        <v>2</v>
      </c>
      <c r="E30" s="31" t="s">
        <v>82</v>
      </c>
      <c r="F30" s="9" t="s">
        <v>13</v>
      </c>
      <c r="G30" s="38">
        <v>46083</v>
      </c>
      <c r="H30" s="48">
        <v>46087</v>
      </c>
      <c r="I30" s="5">
        <f t="shared" si="1"/>
        <v>5</v>
      </c>
      <c r="J30" s="9" t="s">
        <v>0</v>
      </c>
      <c r="K30" s="9" t="s">
        <v>8</v>
      </c>
      <c r="L30" s="9" t="s">
        <v>10</v>
      </c>
      <c r="M30" s="2"/>
    </row>
    <row r="31" spans="1:13" s="9" customFormat="1" ht="29" x14ac:dyDescent="0.35">
      <c r="A31" s="18"/>
      <c r="B31" s="19"/>
      <c r="C31" s="19"/>
      <c r="D31" s="27">
        <v>3</v>
      </c>
      <c r="E31" s="31" t="s">
        <v>83</v>
      </c>
      <c r="F31" s="9" t="s">
        <v>13</v>
      </c>
      <c r="G31" s="38">
        <v>46083</v>
      </c>
      <c r="H31" s="48">
        <v>46087</v>
      </c>
      <c r="I31" s="5">
        <f t="shared" si="1"/>
        <v>5</v>
      </c>
      <c r="J31" s="9" t="s">
        <v>0</v>
      </c>
      <c r="K31" s="9" t="s">
        <v>8</v>
      </c>
      <c r="L31" s="9" t="s">
        <v>10</v>
      </c>
      <c r="M31" s="2"/>
    </row>
    <row r="32" spans="1:13" ht="43.5" x14ac:dyDescent="0.35">
      <c r="A32" s="21" t="s">
        <v>43</v>
      </c>
      <c r="B32" s="22" t="s">
        <v>47</v>
      </c>
      <c r="C32" s="22" t="s">
        <v>84</v>
      </c>
      <c r="D32" s="28">
        <v>1</v>
      </c>
      <c r="E32" s="33" t="s">
        <v>85</v>
      </c>
      <c r="F32" s="9" t="s">
        <v>13</v>
      </c>
      <c r="G32" s="38">
        <v>46090</v>
      </c>
      <c r="H32" s="48">
        <v>46092</v>
      </c>
      <c r="I32" s="5">
        <f t="shared" si="1"/>
        <v>3</v>
      </c>
      <c r="J32" t="s">
        <v>0</v>
      </c>
      <c r="K32" t="s">
        <v>8</v>
      </c>
      <c r="L32" t="s">
        <v>10</v>
      </c>
    </row>
    <row r="33" spans="1:12" ht="29" x14ac:dyDescent="0.35">
      <c r="A33" s="22"/>
      <c r="B33" s="22"/>
      <c r="C33" s="22"/>
      <c r="D33" s="28">
        <v>2</v>
      </c>
      <c r="E33" s="33" t="s">
        <v>86</v>
      </c>
      <c r="F33" s="9" t="s">
        <v>13</v>
      </c>
      <c r="G33" s="38">
        <v>46090</v>
      </c>
      <c r="H33" s="48">
        <v>46092</v>
      </c>
      <c r="I33" s="5">
        <f t="shared" si="1"/>
        <v>3</v>
      </c>
      <c r="J33" t="s">
        <v>0</v>
      </c>
      <c r="K33" t="s">
        <v>8</v>
      </c>
      <c r="L33" t="s">
        <v>10</v>
      </c>
    </row>
    <row r="34" spans="1:12" ht="29" x14ac:dyDescent="0.35">
      <c r="A34" s="22"/>
      <c r="B34" s="22"/>
      <c r="C34" s="22" t="s">
        <v>87</v>
      </c>
      <c r="D34" s="28">
        <v>1</v>
      </c>
      <c r="E34" s="33" t="s">
        <v>88</v>
      </c>
      <c r="F34" s="9" t="s">
        <v>13</v>
      </c>
      <c r="G34" s="38">
        <v>46090</v>
      </c>
      <c r="H34" s="48">
        <v>46092</v>
      </c>
      <c r="I34" s="5">
        <f t="shared" si="1"/>
        <v>3</v>
      </c>
      <c r="J34" t="s">
        <v>0</v>
      </c>
      <c r="K34" t="s">
        <v>8</v>
      </c>
      <c r="L34" t="s">
        <v>10</v>
      </c>
    </row>
    <row r="35" spans="1:12" ht="29" x14ac:dyDescent="0.35">
      <c r="A35" s="22"/>
      <c r="B35" s="22"/>
      <c r="C35" s="22"/>
      <c r="D35" s="28">
        <v>2</v>
      </c>
      <c r="E35" s="33" t="s">
        <v>89</v>
      </c>
      <c r="F35" s="9" t="s">
        <v>13</v>
      </c>
      <c r="G35" s="38">
        <v>46090</v>
      </c>
      <c r="H35" s="48">
        <v>46092</v>
      </c>
      <c r="I35" s="5">
        <f t="shared" si="1"/>
        <v>3</v>
      </c>
      <c r="J35" t="s">
        <v>0</v>
      </c>
      <c r="K35" t="s">
        <v>8</v>
      </c>
      <c r="L35" t="s">
        <v>10</v>
      </c>
    </row>
    <row r="36" spans="1:12" ht="29" x14ac:dyDescent="0.35">
      <c r="A36" s="22"/>
      <c r="B36" s="22"/>
      <c r="C36" s="22"/>
      <c r="D36" s="28">
        <v>3</v>
      </c>
      <c r="E36" s="33" t="s">
        <v>114</v>
      </c>
      <c r="F36" s="9" t="s">
        <v>13</v>
      </c>
      <c r="G36" s="38">
        <v>46090</v>
      </c>
      <c r="H36" s="48">
        <v>46092</v>
      </c>
      <c r="I36" s="5">
        <f t="shared" si="1"/>
        <v>3</v>
      </c>
      <c r="J36" t="s">
        <v>0</v>
      </c>
      <c r="K36" t="s">
        <v>8</v>
      </c>
      <c r="L36" t="s">
        <v>10</v>
      </c>
    </row>
    <row r="37" spans="1:12" ht="29" x14ac:dyDescent="0.35">
      <c r="A37" s="22"/>
      <c r="B37" s="22"/>
      <c r="C37" s="22" t="s">
        <v>90</v>
      </c>
      <c r="D37" s="28">
        <v>1</v>
      </c>
      <c r="E37" s="33" t="s">
        <v>91</v>
      </c>
      <c r="F37" s="9" t="s">
        <v>13</v>
      </c>
      <c r="G37" s="38">
        <v>46093</v>
      </c>
      <c r="H37" s="48">
        <v>46098</v>
      </c>
      <c r="I37" s="5">
        <f t="shared" si="1"/>
        <v>6</v>
      </c>
      <c r="J37" t="s">
        <v>0</v>
      </c>
      <c r="K37" t="s">
        <v>8</v>
      </c>
      <c r="L37" t="s">
        <v>10</v>
      </c>
    </row>
    <row r="38" spans="1:12" ht="29" x14ac:dyDescent="0.35">
      <c r="A38" s="22"/>
      <c r="B38" s="22"/>
      <c r="C38" s="22"/>
      <c r="D38" s="28">
        <v>2</v>
      </c>
      <c r="E38" s="33" t="s">
        <v>92</v>
      </c>
      <c r="F38" s="9" t="s">
        <v>13</v>
      </c>
      <c r="G38" s="38">
        <v>46093</v>
      </c>
      <c r="H38" s="48">
        <v>46098</v>
      </c>
      <c r="I38" s="5">
        <f t="shared" si="1"/>
        <v>6</v>
      </c>
      <c r="J38" t="s">
        <v>0</v>
      </c>
      <c r="K38" t="s">
        <v>8</v>
      </c>
      <c r="L38" t="s">
        <v>10</v>
      </c>
    </row>
    <row r="39" spans="1:12" ht="29" x14ac:dyDescent="0.35">
      <c r="A39" s="22"/>
      <c r="B39" s="22"/>
      <c r="C39" s="22"/>
      <c r="D39" s="28">
        <v>3</v>
      </c>
      <c r="E39" s="33" t="s">
        <v>93</v>
      </c>
      <c r="F39" s="9" t="s">
        <v>13</v>
      </c>
      <c r="G39" s="38">
        <v>46093</v>
      </c>
      <c r="H39" s="48">
        <v>46098</v>
      </c>
      <c r="I39" s="5">
        <f t="shared" si="1"/>
        <v>6</v>
      </c>
      <c r="J39" t="s">
        <v>0</v>
      </c>
      <c r="K39" t="s">
        <v>8</v>
      </c>
      <c r="L39" t="s">
        <v>10</v>
      </c>
    </row>
    <row r="40" spans="1:12" x14ac:dyDescent="0.35">
      <c r="A40" s="22"/>
      <c r="B40" s="22"/>
      <c r="C40" s="22" t="s">
        <v>94</v>
      </c>
      <c r="D40" s="28">
        <v>1</v>
      </c>
      <c r="E40" s="34" t="s">
        <v>95</v>
      </c>
      <c r="F40" s="9" t="s">
        <v>13</v>
      </c>
      <c r="G40" s="38">
        <v>46093</v>
      </c>
      <c r="H40" s="48">
        <v>46098</v>
      </c>
      <c r="I40" s="5">
        <f t="shared" si="1"/>
        <v>6</v>
      </c>
      <c r="J40" t="s">
        <v>0</v>
      </c>
      <c r="K40" t="s">
        <v>8</v>
      </c>
      <c r="L40" t="s">
        <v>10</v>
      </c>
    </row>
    <row r="41" spans="1:12" x14ac:dyDescent="0.35">
      <c r="A41" s="22"/>
      <c r="B41" s="22"/>
      <c r="C41" s="22"/>
      <c r="D41" s="28">
        <v>2</v>
      </c>
      <c r="E41" s="34" t="s">
        <v>96</v>
      </c>
      <c r="F41" s="9" t="s">
        <v>13</v>
      </c>
      <c r="G41" s="38">
        <v>46093</v>
      </c>
      <c r="H41" s="48">
        <v>46098</v>
      </c>
      <c r="I41" s="5">
        <f t="shared" si="1"/>
        <v>6</v>
      </c>
      <c r="J41" t="s">
        <v>0</v>
      </c>
      <c r="K41" t="s">
        <v>8</v>
      </c>
      <c r="L41" t="s">
        <v>10</v>
      </c>
    </row>
    <row r="42" spans="1:12" ht="43.5" x14ac:dyDescent="0.35">
      <c r="A42" s="23" t="s">
        <v>44</v>
      </c>
      <c r="B42" s="24" t="s">
        <v>48</v>
      </c>
      <c r="C42" s="24" t="s">
        <v>97</v>
      </c>
      <c r="D42" s="29">
        <v>1</v>
      </c>
      <c r="E42" s="35" t="s">
        <v>98</v>
      </c>
      <c r="F42" s="9" t="s">
        <v>13</v>
      </c>
      <c r="G42" s="38">
        <v>46099</v>
      </c>
      <c r="H42" s="48">
        <v>46101</v>
      </c>
      <c r="I42" s="5">
        <f t="shared" si="1"/>
        <v>3</v>
      </c>
      <c r="J42" t="s">
        <v>0</v>
      </c>
      <c r="K42" t="s">
        <v>8</v>
      </c>
      <c r="L42" t="s">
        <v>10</v>
      </c>
    </row>
    <row r="43" spans="1:12" ht="29" x14ac:dyDescent="0.35">
      <c r="A43" s="24"/>
      <c r="B43" s="24"/>
      <c r="C43" s="24"/>
      <c r="D43" s="29">
        <v>2</v>
      </c>
      <c r="E43" s="35" t="s">
        <v>99</v>
      </c>
      <c r="F43" s="9" t="s">
        <v>13</v>
      </c>
      <c r="G43" s="38">
        <v>46099</v>
      </c>
      <c r="H43" s="48">
        <v>46101</v>
      </c>
      <c r="I43" s="5">
        <f t="shared" si="1"/>
        <v>3</v>
      </c>
      <c r="J43" t="s">
        <v>0</v>
      </c>
      <c r="K43" t="s">
        <v>8</v>
      </c>
      <c r="L43" t="s">
        <v>10</v>
      </c>
    </row>
    <row r="44" spans="1:12" x14ac:dyDescent="0.35">
      <c r="A44" s="24"/>
      <c r="B44" s="24"/>
      <c r="C44" s="24" t="s">
        <v>100</v>
      </c>
      <c r="D44" s="29">
        <v>1</v>
      </c>
      <c r="E44" s="35" t="s">
        <v>101</v>
      </c>
      <c r="F44" s="9" t="s">
        <v>13</v>
      </c>
      <c r="G44" s="38">
        <v>46104</v>
      </c>
      <c r="H44" s="48">
        <v>46105</v>
      </c>
      <c r="I44" s="5">
        <f t="shared" si="1"/>
        <v>2</v>
      </c>
      <c r="J44" t="s">
        <v>0</v>
      </c>
      <c r="K44" t="s">
        <v>8</v>
      </c>
      <c r="L44" t="s">
        <v>10</v>
      </c>
    </row>
    <row r="45" spans="1:12" ht="29" x14ac:dyDescent="0.35">
      <c r="A45" s="24"/>
      <c r="B45" s="24"/>
      <c r="C45" s="24"/>
      <c r="D45" s="29">
        <v>2</v>
      </c>
      <c r="E45" s="35" t="s">
        <v>102</v>
      </c>
      <c r="F45" s="9" t="s">
        <v>13</v>
      </c>
      <c r="G45" s="38">
        <v>46104</v>
      </c>
      <c r="H45" s="48">
        <v>46105</v>
      </c>
      <c r="I45" s="5">
        <f t="shared" si="1"/>
        <v>2</v>
      </c>
      <c r="J45" t="s">
        <v>0</v>
      </c>
      <c r="K45" t="s">
        <v>8</v>
      </c>
      <c r="L45" t="s">
        <v>10</v>
      </c>
    </row>
    <row r="46" spans="1:12" ht="29" x14ac:dyDescent="0.35">
      <c r="A46" s="24"/>
      <c r="B46" s="24"/>
      <c r="C46" s="24" t="s">
        <v>103</v>
      </c>
      <c r="D46" s="29">
        <v>1</v>
      </c>
      <c r="E46" s="36" t="s">
        <v>104</v>
      </c>
      <c r="F46" s="9" t="s">
        <v>13</v>
      </c>
      <c r="G46" s="38">
        <v>46106</v>
      </c>
      <c r="H46" s="48">
        <v>46108</v>
      </c>
      <c r="I46" s="5">
        <f t="shared" si="1"/>
        <v>3</v>
      </c>
      <c r="J46" t="s">
        <v>0</v>
      </c>
      <c r="K46" t="s">
        <v>8</v>
      </c>
      <c r="L46" t="s">
        <v>10</v>
      </c>
    </row>
    <row r="47" spans="1:12" ht="29" x14ac:dyDescent="0.35">
      <c r="A47" s="24"/>
      <c r="B47" s="24"/>
      <c r="C47" s="24"/>
      <c r="D47" s="29">
        <v>2</v>
      </c>
      <c r="E47" s="36" t="s">
        <v>105</v>
      </c>
      <c r="F47" s="9" t="s">
        <v>13</v>
      </c>
      <c r="G47" s="38">
        <v>46106</v>
      </c>
      <c r="H47" s="48">
        <v>46108</v>
      </c>
      <c r="I47" s="5">
        <f t="shared" si="1"/>
        <v>3</v>
      </c>
      <c r="J47" t="s">
        <v>0</v>
      </c>
      <c r="K47" t="s">
        <v>8</v>
      </c>
      <c r="L47" t="s">
        <v>10</v>
      </c>
    </row>
    <row r="48" spans="1:12" x14ac:dyDescent="0.35">
      <c r="A48" s="24"/>
      <c r="B48" s="24"/>
      <c r="C48" s="24" t="s">
        <v>106</v>
      </c>
      <c r="D48" s="29">
        <v>1</v>
      </c>
      <c r="E48" s="35" t="s">
        <v>107</v>
      </c>
      <c r="F48" s="9" t="s">
        <v>13</v>
      </c>
      <c r="G48" s="38">
        <v>46111</v>
      </c>
      <c r="H48" s="48">
        <v>46112</v>
      </c>
      <c r="I48" s="5">
        <f t="shared" si="1"/>
        <v>2</v>
      </c>
      <c r="J48" t="s">
        <v>0</v>
      </c>
      <c r="K48" t="s">
        <v>8</v>
      </c>
      <c r="L48" t="s">
        <v>10</v>
      </c>
    </row>
    <row r="49" spans="1:12" ht="29" x14ac:dyDescent="0.35">
      <c r="A49" s="24"/>
      <c r="B49" s="24"/>
      <c r="C49" s="24"/>
      <c r="D49" s="29">
        <v>2</v>
      </c>
      <c r="E49" s="35" t="s">
        <v>108</v>
      </c>
      <c r="F49" s="9" t="s">
        <v>13</v>
      </c>
      <c r="G49" s="38">
        <v>46111</v>
      </c>
      <c r="H49" s="48">
        <v>46112</v>
      </c>
      <c r="I49" s="5">
        <f t="shared" si="1"/>
        <v>2</v>
      </c>
      <c r="J49" t="s">
        <v>0</v>
      </c>
      <c r="K49" t="s">
        <v>8</v>
      </c>
      <c r="L49" t="s">
        <v>10</v>
      </c>
    </row>
    <row r="50" spans="1:12" ht="29" x14ac:dyDescent="0.35">
      <c r="A50" s="24"/>
      <c r="B50" s="24"/>
      <c r="C50" s="24"/>
      <c r="D50" s="29">
        <v>3</v>
      </c>
      <c r="E50" s="35" t="s">
        <v>109</v>
      </c>
      <c r="F50" s="9" t="s">
        <v>13</v>
      </c>
      <c r="G50" s="38">
        <v>46111</v>
      </c>
      <c r="H50" s="48">
        <v>46112</v>
      </c>
      <c r="I50" s="5">
        <f t="shared" si="1"/>
        <v>2</v>
      </c>
      <c r="J50" t="s">
        <v>0</v>
      </c>
      <c r="K50" t="s">
        <v>8</v>
      </c>
      <c r="L50" t="s">
        <v>10</v>
      </c>
    </row>
    <row r="51" spans="1:12" x14ac:dyDescent="0.35">
      <c r="E51"/>
      <c r="I51" s="5" t="str">
        <f t="shared" si="0"/>
        <v/>
      </c>
    </row>
    <row r="52" spans="1:12" x14ac:dyDescent="0.35">
      <c r="I52" s="5" t="str">
        <f t="shared" si="0"/>
        <v/>
      </c>
    </row>
    <row r="53" spans="1:12" x14ac:dyDescent="0.35">
      <c r="I53" s="5" t="str">
        <f t="shared" si="0"/>
        <v/>
      </c>
    </row>
    <row r="54" spans="1:12" x14ac:dyDescent="0.35">
      <c r="I54" s="5" t="str">
        <f t="shared" si="0"/>
        <v/>
      </c>
    </row>
    <row r="55" spans="1:12" x14ac:dyDescent="0.35">
      <c r="I55" s="5" t="str">
        <f t="shared" si="0"/>
        <v/>
      </c>
    </row>
    <row r="56" spans="1:12" x14ac:dyDescent="0.35">
      <c r="I56" s="5" t="str">
        <f t="shared" si="0"/>
        <v/>
      </c>
    </row>
    <row r="57" spans="1:12" x14ac:dyDescent="0.35">
      <c r="I57" s="5" t="str">
        <f t="shared" si="0"/>
        <v/>
      </c>
    </row>
    <row r="58" spans="1:12" x14ac:dyDescent="0.35">
      <c r="I58" s="5" t="str">
        <f t="shared" ref="I58:I89" si="2">IF(AND(G58&lt;&gt;"",H58&lt;&gt;""),H58-G58+1,"")</f>
        <v/>
      </c>
    </row>
    <row r="59" spans="1:12" x14ac:dyDescent="0.35">
      <c r="I59" s="5" t="str">
        <f t="shared" si="2"/>
        <v/>
      </c>
    </row>
    <row r="60" spans="1:12" x14ac:dyDescent="0.35">
      <c r="I60" s="5" t="str">
        <f t="shared" si="2"/>
        <v/>
      </c>
    </row>
    <row r="61" spans="1:12" x14ac:dyDescent="0.35">
      <c r="I61" s="5" t="str">
        <f t="shared" si="2"/>
        <v/>
      </c>
    </row>
    <row r="62" spans="1:12" x14ac:dyDescent="0.35">
      <c r="I62" s="5" t="str">
        <f t="shared" si="2"/>
        <v/>
      </c>
    </row>
    <row r="63" spans="1:12" x14ac:dyDescent="0.35">
      <c r="I63" s="5" t="str">
        <f t="shared" si="2"/>
        <v/>
      </c>
    </row>
    <row r="64" spans="1:12" x14ac:dyDescent="0.35">
      <c r="I64" s="5" t="str">
        <f t="shared" si="2"/>
        <v/>
      </c>
    </row>
    <row r="65" spans="9:9" x14ac:dyDescent="0.35">
      <c r="I65" s="5" t="str">
        <f t="shared" si="2"/>
        <v/>
      </c>
    </row>
    <row r="66" spans="9:9" x14ac:dyDescent="0.35">
      <c r="I66" s="5" t="str">
        <f t="shared" si="2"/>
        <v/>
      </c>
    </row>
    <row r="67" spans="9:9" x14ac:dyDescent="0.35">
      <c r="I67" s="5" t="str">
        <f t="shared" si="2"/>
        <v/>
      </c>
    </row>
    <row r="68" spans="9:9" x14ac:dyDescent="0.35">
      <c r="I68" s="5" t="str">
        <f t="shared" si="2"/>
        <v/>
      </c>
    </row>
    <row r="69" spans="9:9" x14ac:dyDescent="0.35">
      <c r="I69" s="5" t="str">
        <f t="shared" si="2"/>
        <v/>
      </c>
    </row>
    <row r="70" spans="9:9" x14ac:dyDescent="0.35">
      <c r="I70" s="5" t="str">
        <f t="shared" si="2"/>
        <v/>
      </c>
    </row>
    <row r="71" spans="9:9" x14ac:dyDescent="0.35">
      <c r="I71" s="5" t="str">
        <f t="shared" si="2"/>
        <v/>
      </c>
    </row>
    <row r="72" spans="9:9" x14ac:dyDescent="0.35">
      <c r="I72" s="5" t="str">
        <f t="shared" si="2"/>
        <v/>
      </c>
    </row>
    <row r="73" spans="9:9" x14ac:dyDescent="0.35">
      <c r="I73" s="5" t="str">
        <f t="shared" si="2"/>
        <v/>
      </c>
    </row>
    <row r="74" spans="9:9" x14ac:dyDescent="0.35">
      <c r="I74" s="5" t="str">
        <f t="shared" si="2"/>
        <v/>
      </c>
    </row>
    <row r="75" spans="9:9" x14ac:dyDescent="0.35">
      <c r="I75" s="5" t="str">
        <f t="shared" si="2"/>
        <v/>
      </c>
    </row>
    <row r="76" spans="9:9" x14ac:dyDescent="0.35">
      <c r="I76" s="5" t="str">
        <f t="shared" si="2"/>
        <v/>
      </c>
    </row>
    <row r="77" spans="9:9" x14ac:dyDescent="0.35">
      <c r="I77" s="5" t="str">
        <f t="shared" si="2"/>
        <v/>
      </c>
    </row>
    <row r="78" spans="9:9" x14ac:dyDescent="0.35">
      <c r="I78" s="5" t="str">
        <f t="shared" si="2"/>
        <v/>
      </c>
    </row>
    <row r="79" spans="9:9" x14ac:dyDescent="0.35">
      <c r="I79" s="5" t="str">
        <f t="shared" si="2"/>
        <v/>
      </c>
    </row>
    <row r="80" spans="9:9" x14ac:dyDescent="0.35">
      <c r="I80" s="5" t="str">
        <f t="shared" si="2"/>
        <v/>
      </c>
    </row>
    <row r="81" spans="9:9" x14ac:dyDescent="0.35">
      <c r="I81" s="5" t="str">
        <f t="shared" si="2"/>
        <v/>
      </c>
    </row>
    <row r="82" spans="9:9" x14ac:dyDescent="0.35">
      <c r="I82" s="5" t="str">
        <f t="shared" si="2"/>
        <v/>
      </c>
    </row>
    <row r="83" spans="9:9" x14ac:dyDescent="0.35">
      <c r="I83" s="5" t="str">
        <f t="shared" si="2"/>
        <v/>
      </c>
    </row>
    <row r="84" spans="9:9" x14ac:dyDescent="0.35">
      <c r="I84" s="5" t="str">
        <f t="shared" si="2"/>
        <v/>
      </c>
    </row>
    <row r="85" spans="9:9" x14ac:dyDescent="0.35">
      <c r="I85" s="5" t="str">
        <f t="shared" si="2"/>
        <v/>
      </c>
    </row>
    <row r="86" spans="9:9" x14ac:dyDescent="0.35">
      <c r="I86" s="5" t="str">
        <f t="shared" si="2"/>
        <v/>
      </c>
    </row>
    <row r="87" spans="9:9" x14ac:dyDescent="0.35">
      <c r="I87" s="5" t="str">
        <f t="shared" si="2"/>
        <v/>
      </c>
    </row>
    <row r="88" spans="9:9" x14ac:dyDescent="0.35">
      <c r="I88" s="5" t="str">
        <f t="shared" si="2"/>
        <v/>
      </c>
    </row>
    <row r="89" spans="9:9" x14ac:dyDescent="0.35">
      <c r="I89" s="5" t="str">
        <f t="shared" si="2"/>
        <v/>
      </c>
    </row>
    <row r="90" spans="9:9" x14ac:dyDescent="0.35">
      <c r="I90" s="5" t="str">
        <f t="shared" ref="I90:I121" si="3">IF(AND(G90&lt;&gt;"",H90&lt;&gt;""),H90-G90+1,"")</f>
        <v/>
      </c>
    </row>
    <row r="91" spans="9:9" x14ac:dyDescent="0.35">
      <c r="I91" s="5" t="str">
        <f t="shared" si="3"/>
        <v/>
      </c>
    </row>
    <row r="92" spans="9:9" x14ac:dyDescent="0.35">
      <c r="I92" s="5" t="str">
        <f t="shared" si="3"/>
        <v/>
      </c>
    </row>
    <row r="93" spans="9:9" x14ac:dyDescent="0.35">
      <c r="I93" s="5" t="str">
        <f t="shared" si="3"/>
        <v/>
      </c>
    </row>
    <row r="94" spans="9:9" x14ac:dyDescent="0.35">
      <c r="I94" s="5" t="str">
        <f t="shared" si="3"/>
        <v/>
      </c>
    </row>
    <row r="95" spans="9:9" x14ac:dyDescent="0.35">
      <c r="I95" s="5" t="str">
        <f t="shared" si="3"/>
        <v/>
      </c>
    </row>
    <row r="96" spans="9:9" x14ac:dyDescent="0.35">
      <c r="I96" s="5" t="str">
        <f t="shared" si="3"/>
        <v/>
      </c>
    </row>
    <row r="97" spans="9:9" x14ac:dyDescent="0.35">
      <c r="I97" s="5" t="str">
        <f t="shared" si="3"/>
        <v/>
      </c>
    </row>
    <row r="98" spans="9:9" x14ac:dyDescent="0.35">
      <c r="I98" s="5" t="str">
        <f t="shared" si="3"/>
        <v/>
      </c>
    </row>
    <row r="99" spans="9:9" x14ac:dyDescent="0.35">
      <c r="I99" s="5" t="str">
        <f t="shared" si="3"/>
        <v/>
      </c>
    </row>
    <row r="100" spans="9:9" x14ac:dyDescent="0.35">
      <c r="I100" s="5" t="str">
        <f t="shared" si="3"/>
        <v/>
      </c>
    </row>
    <row r="101" spans="9:9" x14ac:dyDescent="0.35">
      <c r="I101" s="5" t="str">
        <f t="shared" si="3"/>
        <v/>
      </c>
    </row>
    <row r="102" spans="9:9" x14ac:dyDescent="0.35">
      <c r="I102" s="5" t="str">
        <f t="shared" si="3"/>
        <v/>
      </c>
    </row>
    <row r="103" spans="9:9" x14ac:dyDescent="0.35">
      <c r="I103" s="5" t="str">
        <f t="shared" si="3"/>
        <v/>
      </c>
    </row>
    <row r="104" spans="9:9" x14ac:dyDescent="0.35">
      <c r="I104" s="5" t="str">
        <f t="shared" si="3"/>
        <v/>
      </c>
    </row>
    <row r="105" spans="9:9" x14ac:dyDescent="0.35">
      <c r="I105" s="5" t="str">
        <f t="shared" si="3"/>
        <v/>
      </c>
    </row>
    <row r="106" spans="9:9" x14ac:dyDescent="0.35">
      <c r="I106" s="5" t="str">
        <f t="shared" si="3"/>
        <v/>
      </c>
    </row>
    <row r="107" spans="9:9" x14ac:dyDescent="0.35">
      <c r="I107" s="5" t="str">
        <f t="shared" si="3"/>
        <v/>
      </c>
    </row>
    <row r="108" spans="9:9" x14ac:dyDescent="0.35">
      <c r="I108" s="5" t="str">
        <f t="shared" si="3"/>
        <v/>
      </c>
    </row>
    <row r="109" spans="9:9" x14ac:dyDescent="0.35">
      <c r="I109" s="5" t="str">
        <f t="shared" si="3"/>
        <v/>
      </c>
    </row>
    <row r="110" spans="9:9" x14ac:dyDescent="0.35">
      <c r="I110" s="5" t="str">
        <f t="shared" si="3"/>
        <v/>
      </c>
    </row>
    <row r="111" spans="9:9" x14ac:dyDescent="0.35">
      <c r="I111" s="5" t="str">
        <f t="shared" si="3"/>
        <v/>
      </c>
    </row>
    <row r="112" spans="9:9" x14ac:dyDescent="0.35">
      <c r="I112" s="5" t="str">
        <f t="shared" si="3"/>
        <v/>
      </c>
    </row>
    <row r="113" spans="9:9" x14ac:dyDescent="0.35">
      <c r="I113" s="5" t="str">
        <f t="shared" si="3"/>
        <v/>
      </c>
    </row>
    <row r="114" spans="9:9" x14ac:dyDescent="0.35">
      <c r="I114" s="5" t="str">
        <f t="shared" si="3"/>
        <v/>
      </c>
    </row>
    <row r="115" spans="9:9" x14ac:dyDescent="0.35">
      <c r="I115" s="5" t="str">
        <f t="shared" si="3"/>
        <v/>
      </c>
    </row>
    <row r="116" spans="9:9" x14ac:dyDescent="0.35">
      <c r="I116" s="5" t="str">
        <f t="shared" si="3"/>
        <v/>
      </c>
    </row>
    <row r="117" spans="9:9" x14ac:dyDescent="0.35">
      <c r="I117" s="5" t="str">
        <f t="shared" si="3"/>
        <v/>
      </c>
    </row>
    <row r="118" spans="9:9" x14ac:dyDescent="0.35">
      <c r="I118" s="5" t="str">
        <f t="shared" si="3"/>
        <v/>
      </c>
    </row>
    <row r="119" spans="9:9" x14ac:dyDescent="0.35">
      <c r="I119" s="5" t="str">
        <f t="shared" si="3"/>
        <v/>
      </c>
    </row>
    <row r="120" spans="9:9" x14ac:dyDescent="0.35">
      <c r="I120" s="5" t="str">
        <f t="shared" si="3"/>
        <v/>
      </c>
    </row>
    <row r="121" spans="9:9" x14ac:dyDescent="0.35">
      <c r="I121" s="5" t="str">
        <f t="shared" si="3"/>
        <v/>
      </c>
    </row>
    <row r="122" spans="9:9" x14ac:dyDescent="0.35">
      <c r="I122" s="5" t="str">
        <f t="shared" ref="I122:I153" si="4">IF(AND(G122&lt;&gt;"",H122&lt;&gt;""),H122-G122+1,"")</f>
        <v/>
      </c>
    </row>
    <row r="123" spans="9:9" x14ac:dyDescent="0.35">
      <c r="I123" s="5" t="str">
        <f t="shared" si="4"/>
        <v/>
      </c>
    </row>
    <row r="124" spans="9:9" x14ac:dyDescent="0.35">
      <c r="I124" s="5" t="str">
        <f t="shared" si="4"/>
        <v/>
      </c>
    </row>
    <row r="125" spans="9:9" x14ac:dyDescent="0.35">
      <c r="I125" s="5" t="str">
        <f t="shared" si="4"/>
        <v/>
      </c>
    </row>
    <row r="126" spans="9:9" x14ac:dyDescent="0.35">
      <c r="I126" s="5" t="str">
        <f t="shared" si="4"/>
        <v/>
      </c>
    </row>
    <row r="127" spans="9:9" x14ac:dyDescent="0.35">
      <c r="I127" s="5" t="str">
        <f t="shared" si="4"/>
        <v/>
      </c>
    </row>
    <row r="128" spans="9:9" x14ac:dyDescent="0.35">
      <c r="I128" s="5" t="str">
        <f t="shared" si="4"/>
        <v/>
      </c>
    </row>
    <row r="129" spans="9:9" x14ac:dyDescent="0.35">
      <c r="I129" s="5" t="str">
        <f t="shared" si="4"/>
        <v/>
      </c>
    </row>
    <row r="130" spans="9:9" x14ac:dyDescent="0.35">
      <c r="I130" s="5" t="str">
        <f t="shared" si="4"/>
        <v/>
      </c>
    </row>
    <row r="131" spans="9:9" x14ac:dyDescent="0.35">
      <c r="I131" s="5" t="str">
        <f t="shared" si="4"/>
        <v/>
      </c>
    </row>
    <row r="132" spans="9:9" x14ac:dyDescent="0.35">
      <c r="I132" s="5" t="str">
        <f t="shared" si="4"/>
        <v/>
      </c>
    </row>
    <row r="133" spans="9:9" x14ac:dyDescent="0.35">
      <c r="I133" s="5" t="str">
        <f t="shared" si="4"/>
        <v/>
      </c>
    </row>
    <row r="134" spans="9:9" x14ac:dyDescent="0.35">
      <c r="I134" s="5" t="str">
        <f t="shared" si="4"/>
        <v/>
      </c>
    </row>
    <row r="135" spans="9:9" x14ac:dyDescent="0.35">
      <c r="I135" s="5" t="str">
        <f t="shared" si="4"/>
        <v/>
      </c>
    </row>
    <row r="136" spans="9:9" x14ac:dyDescent="0.35">
      <c r="I136" s="5" t="str">
        <f t="shared" si="4"/>
        <v/>
      </c>
    </row>
    <row r="137" spans="9:9" x14ac:dyDescent="0.35">
      <c r="I137" s="5" t="str">
        <f t="shared" si="4"/>
        <v/>
      </c>
    </row>
    <row r="138" spans="9:9" x14ac:dyDescent="0.35">
      <c r="I138" s="5" t="str">
        <f t="shared" si="4"/>
        <v/>
      </c>
    </row>
    <row r="139" spans="9:9" x14ac:dyDescent="0.35">
      <c r="I139" s="5" t="str">
        <f t="shared" si="4"/>
        <v/>
      </c>
    </row>
    <row r="140" spans="9:9" x14ac:dyDescent="0.35">
      <c r="I140" s="5" t="str">
        <f t="shared" si="4"/>
        <v/>
      </c>
    </row>
    <row r="141" spans="9:9" x14ac:dyDescent="0.35">
      <c r="I141" s="5" t="str">
        <f t="shared" si="4"/>
        <v/>
      </c>
    </row>
    <row r="142" spans="9:9" x14ac:dyDescent="0.35">
      <c r="I142" s="5" t="str">
        <f t="shared" si="4"/>
        <v/>
      </c>
    </row>
    <row r="143" spans="9:9" x14ac:dyDescent="0.35">
      <c r="I143" s="5" t="str">
        <f t="shared" si="4"/>
        <v/>
      </c>
    </row>
    <row r="144" spans="9:9" x14ac:dyDescent="0.35">
      <c r="I144" s="5" t="str">
        <f t="shared" si="4"/>
        <v/>
      </c>
    </row>
    <row r="145" spans="9:9" x14ac:dyDescent="0.35">
      <c r="I145" s="5" t="str">
        <f t="shared" si="4"/>
        <v/>
      </c>
    </row>
    <row r="146" spans="9:9" x14ac:dyDescent="0.35">
      <c r="I146" s="5" t="str">
        <f t="shared" si="4"/>
        <v/>
      </c>
    </row>
    <row r="147" spans="9:9" x14ac:dyDescent="0.35">
      <c r="I147" s="5" t="str">
        <f t="shared" si="4"/>
        <v/>
      </c>
    </row>
    <row r="148" spans="9:9" x14ac:dyDescent="0.35">
      <c r="I148" s="5" t="str">
        <f t="shared" si="4"/>
        <v/>
      </c>
    </row>
    <row r="149" spans="9:9" x14ac:dyDescent="0.35">
      <c r="I149" s="5" t="str">
        <f t="shared" si="4"/>
        <v/>
      </c>
    </row>
    <row r="150" spans="9:9" x14ac:dyDescent="0.35">
      <c r="I150" s="5" t="str">
        <f t="shared" si="4"/>
        <v/>
      </c>
    </row>
    <row r="151" spans="9:9" x14ac:dyDescent="0.35">
      <c r="I151" s="5" t="str">
        <f t="shared" si="4"/>
        <v/>
      </c>
    </row>
    <row r="152" spans="9:9" x14ac:dyDescent="0.35">
      <c r="I152" s="5" t="str">
        <f t="shared" si="4"/>
        <v/>
      </c>
    </row>
    <row r="153" spans="9:9" x14ac:dyDescent="0.35">
      <c r="I153" s="5" t="str">
        <f t="shared" si="4"/>
        <v/>
      </c>
    </row>
    <row r="154" spans="9:9" x14ac:dyDescent="0.35">
      <c r="I154" s="5" t="str">
        <f t="shared" ref="I154:I185" si="5">IF(AND(G154&lt;&gt;"",H154&lt;&gt;""),H154-G154+1,"")</f>
        <v/>
      </c>
    </row>
    <row r="155" spans="9:9" x14ac:dyDescent="0.35">
      <c r="I155" s="5" t="str">
        <f t="shared" si="5"/>
        <v/>
      </c>
    </row>
    <row r="156" spans="9:9" x14ac:dyDescent="0.35">
      <c r="I156" s="5" t="str">
        <f t="shared" si="5"/>
        <v/>
      </c>
    </row>
    <row r="157" spans="9:9" x14ac:dyDescent="0.35">
      <c r="I157" s="5" t="str">
        <f t="shared" si="5"/>
        <v/>
      </c>
    </row>
    <row r="158" spans="9:9" x14ac:dyDescent="0.35">
      <c r="I158" s="5" t="str">
        <f t="shared" si="5"/>
        <v/>
      </c>
    </row>
    <row r="159" spans="9:9" x14ac:dyDescent="0.35">
      <c r="I159" s="5" t="str">
        <f t="shared" si="5"/>
        <v/>
      </c>
    </row>
    <row r="160" spans="9:9" x14ac:dyDescent="0.35">
      <c r="I160" s="5" t="str">
        <f t="shared" si="5"/>
        <v/>
      </c>
    </row>
    <row r="161" spans="9:9" x14ac:dyDescent="0.35">
      <c r="I161" s="5" t="str">
        <f t="shared" si="5"/>
        <v/>
      </c>
    </row>
    <row r="162" spans="9:9" x14ac:dyDescent="0.35">
      <c r="I162" s="5" t="str">
        <f t="shared" si="5"/>
        <v/>
      </c>
    </row>
    <row r="163" spans="9:9" x14ac:dyDescent="0.35">
      <c r="I163" s="5" t="str">
        <f t="shared" si="5"/>
        <v/>
      </c>
    </row>
    <row r="164" spans="9:9" x14ac:dyDescent="0.35">
      <c r="I164" s="5" t="str">
        <f t="shared" si="5"/>
        <v/>
      </c>
    </row>
    <row r="165" spans="9:9" x14ac:dyDescent="0.35">
      <c r="I165" s="5" t="str">
        <f t="shared" si="5"/>
        <v/>
      </c>
    </row>
    <row r="166" spans="9:9" x14ac:dyDescent="0.35">
      <c r="I166" s="5" t="str">
        <f t="shared" si="5"/>
        <v/>
      </c>
    </row>
    <row r="167" spans="9:9" x14ac:dyDescent="0.35">
      <c r="I167" s="5" t="str">
        <f t="shared" si="5"/>
        <v/>
      </c>
    </row>
    <row r="168" spans="9:9" x14ac:dyDescent="0.35">
      <c r="I168" s="5" t="str">
        <f t="shared" si="5"/>
        <v/>
      </c>
    </row>
    <row r="169" spans="9:9" x14ac:dyDescent="0.35">
      <c r="I169" s="5" t="str">
        <f t="shared" si="5"/>
        <v/>
      </c>
    </row>
    <row r="170" spans="9:9" x14ac:dyDescent="0.35">
      <c r="I170" s="5" t="str">
        <f t="shared" si="5"/>
        <v/>
      </c>
    </row>
    <row r="171" spans="9:9" x14ac:dyDescent="0.35">
      <c r="I171" s="5" t="str">
        <f t="shared" si="5"/>
        <v/>
      </c>
    </row>
    <row r="172" spans="9:9" x14ac:dyDescent="0.35">
      <c r="I172" s="5" t="str">
        <f t="shared" si="5"/>
        <v/>
      </c>
    </row>
    <row r="173" spans="9:9" x14ac:dyDescent="0.35">
      <c r="I173" s="5" t="str">
        <f t="shared" si="5"/>
        <v/>
      </c>
    </row>
    <row r="174" spans="9:9" x14ac:dyDescent="0.35">
      <c r="I174" s="5" t="str">
        <f t="shared" si="5"/>
        <v/>
      </c>
    </row>
    <row r="175" spans="9:9" x14ac:dyDescent="0.35">
      <c r="I175" s="5" t="str">
        <f t="shared" si="5"/>
        <v/>
      </c>
    </row>
    <row r="176" spans="9:9" x14ac:dyDescent="0.35">
      <c r="I176" s="5" t="str">
        <f t="shared" si="5"/>
        <v/>
      </c>
    </row>
    <row r="177" spans="9:9" x14ac:dyDescent="0.35">
      <c r="I177" s="5" t="str">
        <f t="shared" si="5"/>
        <v/>
      </c>
    </row>
    <row r="178" spans="9:9" x14ac:dyDescent="0.35">
      <c r="I178" s="5" t="str">
        <f t="shared" si="5"/>
        <v/>
      </c>
    </row>
    <row r="179" spans="9:9" x14ac:dyDescent="0.35">
      <c r="I179" s="5" t="str">
        <f t="shared" si="5"/>
        <v/>
      </c>
    </row>
    <row r="180" spans="9:9" x14ac:dyDescent="0.35">
      <c r="I180" s="5" t="str">
        <f t="shared" si="5"/>
        <v/>
      </c>
    </row>
    <row r="181" spans="9:9" x14ac:dyDescent="0.35">
      <c r="I181" s="5" t="str">
        <f t="shared" si="5"/>
        <v/>
      </c>
    </row>
    <row r="182" spans="9:9" x14ac:dyDescent="0.35">
      <c r="I182" s="5" t="str">
        <f t="shared" si="5"/>
        <v/>
      </c>
    </row>
    <row r="183" spans="9:9" x14ac:dyDescent="0.35">
      <c r="I183" s="5" t="str">
        <f t="shared" si="5"/>
        <v/>
      </c>
    </row>
    <row r="184" spans="9:9" x14ac:dyDescent="0.35">
      <c r="I184" s="5" t="str">
        <f t="shared" si="5"/>
        <v/>
      </c>
    </row>
    <row r="185" spans="9:9" x14ac:dyDescent="0.35">
      <c r="I185" s="5" t="str">
        <f t="shared" si="5"/>
        <v/>
      </c>
    </row>
    <row r="186" spans="9:9" x14ac:dyDescent="0.35">
      <c r="I186" s="5" t="str">
        <f t="shared" ref="I186:I216" si="6">IF(AND(G186&lt;&gt;"",H186&lt;&gt;""),H186-G186+1,"")</f>
        <v/>
      </c>
    </row>
    <row r="187" spans="9:9" x14ac:dyDescent="0.35">
      <c r="I187" s="5" t="str">
        <f t="shared" si="6"/>
        <v/>
      </c>
    </row>
    <row r="188" spans="9:9" x14ac:dyDescent="0.35">
      <c r="I188" s="5" t="str">
        <f t="shared" si="6"/>
        <v/>
      </c>
    </row>
    <row r="189" spans="9:9" x14ac:dyDescent="0.35">
      <c r="I189" s="5" t="str">
        <f t="shared" si="6"/>
        <v/>
      </c>
    </row>
    <row r="190" spans="9:9" x14ac:dyDescent="0.35">
      <c r="I190" s="5" t="str">
        <f t="shared" si="6"/>
        <v/>
      </c>
    </row>
    <row r="191" spans="9:9" x14ac:dyDescent="0.35">
      <c r="I191" s="5" t="str">
        <f t="shared" si="6"/>
        <v/>
      </c>
    </row>
    <row r="192" spans="9:9" x14ac:dyDescent="0.35">
      <c r="I192" s="5" t="str">
        <f t="shared" si="6"/>
        <v/>
      </c>
    </row>
    <row r="193" spans="9:9" x14ac:dyDescent="0.35">
      <c r="I193" s="5" t="str">
        <f t="shared" si="6"/>
        <v/>
      </c>
    </row>
    <row r="194" spans="9:9" x14ac:dyDescent="0.35">
      <c r="I194" s="5" t="str">
        <f t="shared" si="6"/>
        <v/>
      </c>
    </row>
    <row r="195" spans="9:9" x14ac:dyDescent="0.35">
      <c r="I195" s="5" t="str">
        <f t="shared" si="6"/>
        <v/>
      </c>
    </row>
    <row r="196" spans="9:9" x14ac:dyDescent="0.35">
      <c r="I196" s="5" t="str">
        <f t="shared" si="6"/>
        <v/>
      </c>
    </row>
    <row r="197" spans="9:9" x14ac:dyDescent="0.35">
      <c r="I197" s="5" t="str">
        <f t="shared" si="6"/>
        <v/>
      </c>
    </row>
    <row r="198" spans="9:9" x14ac:dyDescent="0.35">
      <c r="I198" s="5" t="str">
        <f t="shared" si="6"/>
        <v/>
      </c>
    </row>
    <row r="199" spans="9:9" x14ac:dyDescent="0.35">
      <c r="I199" s="5" t="str">
        <f t="shared" si="6"/>
        <v/>
      </c>
    </row>
    <row r="200" spans="9:9" x14ac:dyDescent="0.35">
      <c r="I200" s="5" t="str">
        <f t="shared" si="6"/>
        <v/>
      </c>
    </row>
    <row r="201" spans="9:9" x14ac:dyDescent="0.35">
      <c r="I201" s="5" t="str">
        <f t="shared" si="6"/>
        <v/>
      </c>
    </row>
    <row r="202" spans="9:9" x14ac:dyDescent="0.35">
      <c r="I202" s="5" t="str">
        <f t="shared" si="6"/>
        <v/>
      </c>
    </row>
    <row r="203" spans="9:9" x14ac:dyDescent="0.35">
      <c r="I203" s="5" t="str">
        <f t="shared" si="6"/>
        <v/>
      </c>
    </row>
    <row r="204" spans="9:9" x14ac:dyDescent="0.35">
      <c r="I204" s="5" t="str">
        <f t="shared" si="6"/>
        <v/>
      </c>
    </row>
    <row r="205" spans="9:9" x14ac:dyDescent="0.35">
      <c r="I205" s="5" t="str">
        <f t="shared" si="6"/>
        <v/>
      </c>
    </row>
    <row r="206" spans="9:9" x14ac:dyDescent="0.35">
      <c r="I206" s="5" t="str">
        <f t="shared" si="6"/>
        <v/>
      </c>
    </row>
    <row r="207" spans="9:9" x14ac:dyDescent="0.35">
      <c r="I207" s="5" t="str">
        <f t="shared" si="6"/>
        <v/>
      </c>
    </row>
    <row r="208" spans="9:9" x14ac:dyDescent="0.35">
      <c r="I208" s="5" t="str">
        <f t="shared" si="6"/>
        <v/>
      </c>
    </row>
    <row r="209" spans="9:9" x14ac:dyDescent="0.35">
      <c r="I209" s="5" t="str">
        <f t="shared" si="6"/>
        <v/>
      </c>
    </row>
    <row r="210" spans="9:9" x14ac:dyDescent="0.35">
      <c r="I210" s="5" t="str">
        <f t="shared" si="6"/>
        <v/>
      </c>
    </row>
    <row r="211" spans="9:9" x14ac:dyDescent="0.35">
      <c r="I211" s="5" t="str">
        <f t="shared" si="6"/>
        <v/>
      </c>
    </row>
    <row r="212" spans="9:9" x14ac:dyDescent="0.35">
      <c r="I212" s="5" t="str">
        <f t="shared" si="6"/>
        <v/>
      </c>
    </row>
    <row r="213" spans="9:9" x14ac:dyDescent="0.35">
      <c r="I213" s="5" t="str">
        <f t="shared" si="6"/>
        <v/>
      </c>
    </row>
    <row r="214" spans="9:9" x14ac:dyDescent="0.35">
      <c r="I214" s="5" t="str">
        <f t="shared" si="6"/>
        <v/>
      </c>
    </row>
    <row r="215" spans="9:9" x14ac:dyDescent="0.35">
      <c r="I215" s="5" t="str">
        <f t="shared" si="6"/>
        <v/>
      </c>
    </row>
    <row r="216" spans="9:9" x14ac:dyDescent="0.35">
      <c r="I216" s="5" t="str">
        <f t="shared" si="6"/>
        <v/>
      </c>
    </row>
  </sheetData>
  <mergeCells count="1">
    <mergeCell ref="A1:M1"/>
  </mergeCells>
  <dataValidations count="4">
    <dataValidation type="list" allowBlank="1" showInputMessage="1" showErrorMessage="1" sqref="F11:F216" xr:uid="{00000000-0002-0000-0300-000000000000}">
      <formula1>OwnerList</formula1>
    </dataValidation>
    <dataValidation type="list" allowBlank="1" showInputMessage="1" showErrorMessage="1" sqref="J11:J216" xr:uid="{00000000-0002-0000-0300-000001000000}">
      <formula1>StatusList</formula1>
    </dataValidation>
    <dataValidation type="list" allowBlank="1" showInputMessage="1" showErrorMessage="1" sqref="K11:K216" xr:uid="{00000000-0002-0000-0300-000002000000}">
      <formula1>RAGList</formula1>
    </dataValidation>
    <dataValidation type="list" allowBlank="1" showInputMessage="1" showErrorMessage="1" sqref="L11:L216" xr:uid="{00000000-0002-0000-0300-000003000000}">
      <formula1>PriorityList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>
      <selection activeCell="C13" sqref="C13"/>
    </sheetView>
  </sheetViews>
  <sheetFormatPr defaultRowHeight="14.5" x14ac:dyDescent="0.35"/>
  <sheetData>
    <row r="1" spans="1:2" ht="21" x14ac:dyDescent="0.35">
      <c r="A1" s="3" t="s">
        <v>115</v>
      </c>
    </row>
    <row r="3" spans="1:2" x14ac:dyDescent="0.35">
      <c r="A3" s="4" t="s">
        <v>32</v>
      </c>
      <c r="B3" s="39">
        <v>0.56666666666666665</v>
      </c>
    </row>
    <row r="5" spans="1:2" x14ac:dyDescent="0.35">
      <c r="A5" s="4" t="s">
        <v>33</v>
      </c>
    </row>
    <row r="6" spans="1:2" x14ac:dyDescent="0.35">
      <c r="A6" s="5" t="s">
        <v>305</v>
      </c>
    </row>
    <row r="7" spans="1:2" x14ac:dyDescent="0.35">
      <c r="A7" s="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Lists</vt:lpstr>
      <vt:lpstr>Digital Mktg &amp; Comms 2026</vt:lpstr>
      <vt:lpstr>CRM Improvements</vt:lpstr>
      <vt:lpstr>Overview</vt:lpstr>
      <vt:lpstr>OwnerList</vt:lpstr>
      <vt:lpstr>PriorityList</vt:lpstr>
      <vt:lpstr>RAGList</vt:lpstr>
      <vt:lpstr>RiskLevelList</vt:lpstr>
      <vt:lpstr>StatusList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Purnima Bhuyan</dc:creator>
  <cp:lastModifiedBy>Purnima Bhuyan</cp:lastModifiedBy>
  <dcterms:created xsi:type="dcterms:W3CDTF">2025-11-18T15:24:56Z</dcterms:created>
  <dcterms:modified xsi:type="dcterms:W3CDTF">2025-11-21T10:33:00Z</dcterms:modified>
</cp:coreProperties>
</file>